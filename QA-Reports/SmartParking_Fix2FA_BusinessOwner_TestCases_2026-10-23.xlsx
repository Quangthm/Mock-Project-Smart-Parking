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8e74ba7aee49b9" /></Relationships>
</file>

<file path=xl/workbook.xml><?xml version="1.0" encoding="utf-8"?>
<x:workbook xmlns:x="http://schemas.openxmlformats.org/spreadsheetml/2006/main">
  <x:sheets>
    <x:sheet xmlns:r="http://schemas.openxmlformats.org/officeDocument/2006/relationships" name="Test Cases" sheetId="1" r:id="R81c8634af3274657"/>
    <x:sheet xmlns:r="http://schemas.openxmlformats.org/officeDocument/2006/relationships" name="Issues" sheetId="2" r:id="R978afbfd27c5464e"/>
    <x:sheet xmlns:r="http://schemas.openxmlformats.org/officeDocument/2006/relationships" name="Evidence" sheetId="3" r:id="R6aa07082606f4da8"/>
    <x:sheet xmlns:r="http://schemas.openxmlformats.org/officeDocument/2006/relationships" name="Environment" sheetId="4" r:id="R4e5bc6809a094989"/>
    <x:sheet xmlns:r="http://schemas.openxmlformats.org/officeDocument/2006/relationships" name="Dashboard" sheetId="5" r:id="R5b71d5e0286e4ab1"/>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Arial"/>
    </x:font>
    <x:font>
      <x:sz val="9"/>
      <x:color rgb="FF1D2B41"/>
      <x:name val="Arial"/>
    </x:font>
    <x:font>
      <x:b/>
      <x:sz val="10"/>
      <x:color rgb="FFFFFFFF"/>
      <x:name val="Arial"/>
    </x:font>
    <x:font>
      <x:b/>
      <x:sz val="9"/>
      <x:color rgb="FF245BAA"/>
      <x:name val="Arial"/>
    </x:font>
    <x:font>
      <x:b/>
      <x:sz val="9"/>
      <x:color rgb="FF1D2B41"/>
      <x:name val="Arial"/>
    </x:font>
    <x:font>
      <x:sz val="9"/>
      <x:name val="Arial"/>
    </x:font>
    <x:font>
      <x:sz val="10"/>
      <x:name val="Arial"/>
    </x:font>
    <x:font>
      <x:b/>
      <x:sz val="11"/>
      <x:color rgb="FFFFFFFF"/>
      <x:name val="Arial"/>
    </x:font>
    <x:font>
      <x:b/>
      <x:sz val="22"/>
      <x:color rgb="FF152E50"/>
      <x:name val="Arial"/>
    </x:font>
    <x:font>
      <x:sz val="11"/>
      <x:color rgb="FF1D2B41"/>
      <x:name val="Arial"/>
    </x:font>
    <x:font>
      <x:sz val="10"/>
      <x:color rgb="FF1D2B41"/>
      <x:name val="Arial"/>
    </x:font>
  </x:fonts>
  <x:fills count="8">
    <x:fill>
      <x:patternFill patternType="none"/>
    </x:fill>
    <x:fill>
      <x:patternFill patternType="gray125"/>
    </x:fill>
    <x:fill>
      <x:patternFill patternType="solid">
        <x:fgColor rgb="FF152E50"/>
      </x:patternFill>
    </x:fill>
    <x:fill>
      <x:patternFill patternType="solid">
        <x:fgColor rgb="FFE7EFFB"/>
      </x:patternFill>
    </x:fill>
    <x:fill>
      <x:patternFill patternType="solid">
        <x:fgColor rgb="FFFFF1D2"/>
      </x:patternFill>
    </x:fill>
    <x:fill>
      <x:patternFill patternType="solid">
        <x:fgColor rgb="FF245BAA"/>
      </x:patternFill>
    </x:fill>
    <x:fill>
      <x:patternFill patternType="solid">
        <x:fgColor rgb="FFE8F4F8"/>
      </x:patternFill>
    </x:fill>
    <x:fill>
      <x:patternFill patternType="solid">
        <x:fgColor rgb="FFF1F5F9"/>
      </x:patternFill>
    </x:fill>
  </x:fills>
  <x:borders count="2">
    <x:border/>
    <x:border/>
  </x:borders>
  <x:cellStyleXfs count="1">
    <x:xf numFmtId="0" fontId="0" fillId="0" borderId="0"/>
  </x:cellStyleXfs>
  <x:cellXfs count="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4" fillId="0" borderId="1"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5" fillId="0" borderId="0" xfId="0" applyNumberFormat="1" applyFont="1" applyFill="1" applyBorder="1" applyAlignment="1">
      <x:alignment horizontal="center" vertical="center" wrapText="1"/>
    </x:xf>
    <x:xf numFmtId="0" fontId="5" fillId="0" borderId="1" xfId="0" applyNumberFormat="1" applyFont="1" applyFill="1" applyBorder="1" applyAlignment="1">
      <x:alignment vertical="center" wrapText="1"/>
    </x:xf>
    <x:xf numFmtId="0" fontId="5" fillId="0" borderId="1" xfId="0" applyNumberFormat="1" applyFont="1" applyFill="1" applyBorder="1" applyAlignment="1">
      <x:alignment horizontal="center" vertical="center" wrapText="1"/>
    </x:xf>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1" xfId="0" applyNumberFormat="1" applyFont="1" applyFill="1" applyBorder="1"/>
    <x:xf numFmtId="0" fontId="6" fillId="4" borderId="1" xfId="0" applyNumberFormat="1" applyFont="1" applyFill="1" applyBorder="1" applyAlignment="1">
      <x:alignment wrapText="1"/>
    </x:xf>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1" xfId="0" applyNumberFormat="1" applyFont="1" applyFill="1" applyBorder="1"/>
    <x:xf numFmtId="0" fontId="6" fillId="3" borderId="1" xfId="0" applyNumberFormat="1" applyFont="1" applyFill="1" applyBorder="1" applyAlignment="1">
      <x:alignment wrapText="1"/>
    </x:xf>
    <x:xf numFmtId="0" fontId="7" fillId="3" borderId="0" xfId="0" applyNumberFormat="1" applyFont="1" applyFill="1" applyBorder="1"/>
    <x:xf numFmtId="0" fontId="7" fillId="3" borderId="1" xfId="0" applyNumberFormat="1" applyFont="1" applyFill="1" applyBorder="1"/>
    <x:xf numFmtId="0" fontId="8" fillId="2" borderId="0" xfId="0" applyNumberFormat="1" applyFont="1" applyFill="1" applyBorder="1"/>
    <x:xf numFmtId="0" fontId="8" fillId="2" borderId="0" xfId="0" applyNumberFormat="1" applyFont="1" applyFill="1" applyBorder="1" applyAlignment="1">
      <x:alignment horizontal="center"/>
    </x:xf>
    <x:xf numFmtId="0" fontId="8" fillId="2" borderId="1" xfId="0" applyNumberFormat="1" applyFont="1" applyFill="1" applyBorder="1"/>
    <x:xf numFmtId="0" fontId="8" fillId="2" borderId="1" xfId="0" applyNumberFormat="1" applyFont="1" applyFill="1" applyBorder="1" applyAlignment="1">
      <x:alignment horizontal="center"/>
    </x:xf>
    <x:xf numFmtId="0" fontId="0" fillId="6"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horizontal="center"/>
    </x:xf>
    <x:xf numFmtId="0" fontId="0" fillId="6" borderId="1" xfId="0" applyNumberFormat="1" applyFont="1" applyFill="1" applyBorder="1"/>
    <x:xf numFmtId="0" fontId="9" fillId="6" borderId="1" xfId="0" applyNumberFormat="1" applyFont="1" applyFill="1" applyBorder="1"/>
    <x:xf numFmtId="0" fontId="9" fillId="6" borderId="1" xfId="0" applyNumberFormat="1" applyFont="1" applyFill="1" applyBorder="1" applyAlignment="1">
      <x:alignment horizontal="center"/>
    </x:xf>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wrapText="1"/>
    </x:xf>
    <x:xf numFmtId="0" fontId="0" fillId="7" borderId="1" xfId="0" applyNumberFormat="1" applyFont="1" applyFill="1" applyBorder="1"/>
    <x:xf numFmtId="0" fontId="10" fillId="7" borderId="1" xfId="0" applyNumberFormat="1" applyFont="1" applyFill="1" applyBorder="1"/>
    <x:xf numFmtId="0" fontId="10" fillId="7" borderId="1" xfId="0" applyNumberFormat="1" applyFont="1" applyFill="1" applyBorder="1" applyAlignment="1">
      <x:alignment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1" xfId="0" applyNumberFormat="1" applyFont="1" applyFill="1" applyBorder="1"/>
    <x:xf numFmtId="0" fontId="11" fillId="0" borderId="1" xfId="0" applyNumberFormat="1" applyFont="1" applyFill="1" applyBorder="1" applyAlignment="1">
      <x:alignment wrapText="1"/>
    </x:xf>
  </x:cellXfs>
  <x:cellStyles count="1">
    <x:cellStyle name="Normal" xfId="0"/>
  </x:cellStyles>
  <x:dxfs count="5">
    <x:dxf>
      <x:fill>
        <x:patternFill patternType="solid">
          <x:bgColor rgb="FFDCFCE7"/>
        </x:patternFill>
      </x:fill>
    </x:dxf>
    <x:dxf>
      <x:fill>
        <x:patternFill patternType="solid">
          <x:bgColor rgb="FFFEE2E2"/>
        </x:patternFill>
      </x:fill>
    </x:dxf>
    <x:dxf>
      <x:fill>
        <x:patternFill patternType="solid">
          <x:bgColor rgb="FFFFF1D2"/>
        </x:patternFill>
      </x:fill>
    </x:dxf>
    <x:dxf>
      <x:fill>
        <x:patternFill patternType="solid">
          <x:bgColor rgb="FFF1F5F9"/>
        </x:patternFill>
      </x:fill>
    </x:dxf>
    <x:dxf>
      <x:fill>
        <x:patternFill patternType="solid">
          <x:bgColor rgb="FFE7EFF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6e3e60507d94348" /><Relationship Type="http://schemas.openxmlformats.org/officeDocument/2006/relationships/theme" Target="/xl/theme/theme1.xml" Id="R338c223edea14d4c" /><Relationship Type="http://schemas.openxmlformats.org/officeDocument/2006/relationships/sharedStrings" Target="/xl/sharedStrings.xml" Id="R5c2161d9116d4fb3" /><Relationship Type="http://schemas.openxmlformats.org/officeDocument/2006/relationships/worksheet" Target="/xl/worksheets/sheet1.xml" Id="R81c8634af3274657" /><Relationship Type="http://schemas.openxmlformats.org/officeDocument/2006/relationships/worksheet" Target="/xl/worksheets/sheet2.xml" Id="R978afbfd27c5464e" /><Relationship Type="http://schemas.openxmlformats.org/officeDocument/2006/relationships/worksheet" Target="/xl/worksheets/sheet3.xml" Id="R6aa07082606f4da8" /><Relationship Type="http://schemas.openxmlformats.org/officeDocument/2006/relationships/worksheet" Target="/xl/worksheets/sheet4.xml" Id="R4e5bc6809a094989" /><Relationship Type="http://schemas.openxmlformats.org/officeDocument/2006/relationships/worksheet" Target="/xl/worksheets/sheet5.xml" Id="R5b71d5e0286e4ab1" /></Relationships>
</file>

<file path=xl/tables/table1.xml><?xml version="1.0" encoding="utf-8"?>
<x:table xmlns:x="http://schemas.openxmlformats.org/spreadsheetml/2006/main" id="1" name="Fix2FAUATCases" displayName="Fix2FAUATCases" ref="A5:L37" headerRowCount="1" totalsRowCount="0" totalsRowShown="0">
  <x:tableColumns count="12">
    <x:tableColumn id="1" name="Case ID"/>
    <x:tableColumn id="2" name="Module"/>
    <x:tableColumn id="3" name="Kịch bản"/>
    <x:tableColumn id="4" name="Tiền điều kiện"/>
    <x:tableColumn id="5" name="Dữ liệu test"/>
    <x:tableColumn id="6" name="Bước thực hiện"/>
    <x:tableColumn id="7" name="Expected"/>
    <x:tableColumn id="8" name="Actual / Evidence"/>
    <x:tableColumn id="9" name="Status"/>
    <x:tableColumn id="10" name="HTTP"/>
    <x:tableColumn id="11" name="Evidence ID"/>
    <x:tableColumn id="12" name="Ghi chú"/>
  </x:tableColumns>
  <x:tableStyleInfo name="TableStyleMedium2" showFirstColumn="0" showLastColumn="0" showRowStripes="1" showColumnStripes="0"/>
</x:table>
</file>

<file path=xl/tables/table2.xml><?xml version="1.0" encoding="utf-8"?>
<x:table xmlns:x="http://schemas.openxmlformats.org/spreadsheetml/2006/main" id="2" name="Fix2FAIssues" displayName="Fix2FAIssues" ref="A4:J8" headerRowCount="1" totalsRowCount="0" totalsRowShown="0">
  <x:tableColumns count="10">
    <x:tableColumn id="1" name="Issue ID"/>
    <x:tableColumn id="2" name="Severity"/>
    <x:tableColumn id="3" name="Category"/>
    <x:tableColumn id="4" name="Title"/>
    <x:tableColumn id="5" name="Repro / Trigger"/>
    <x:tableColumn id="6" name="Actual"/>
    <x:tableColumn id="7" name="Expected / Action"/>
    <x:tableColumn id="8" name="Evidence"/>
    <x:tableColumn id="9" name="Notes"/>
    <x:tableColumn id="10" name="State"/>
  </x:tableColumns>
  <x:tableStyleInfo name="TableStyleMedium2" showFirstColumn="0" showLastColumn="0" showRowStripes="1" showColumnStripes="0"/>
</x:table>
</file>

<file path=xl/tables/table3.xml><?xml version="1.0" encoding="utf-8"?>
<x:table xmlns:x="http://schemas.openxmlformats.org/spreadsheetml/2006/main" id="3" name="Fix2FAEvidence" displayName="Fix2FAEvidence" ref="A4:E15" headerRowCount="1" totalsRowCount="0" totalsRowShown="0">
  <x:tableColumns count="5">
    <x:tableColumn id="1" name="Evidence ID"/>
    <x:tableColumn id="2" name="Tên tệp trong ZIP"/>
    <x:tableColumn id="3" name="Nội dung chứng minh"/>
    <x:tableColumn id="4" name="Test Cases / Issues"/>
    <x:tableColumn id="5" name="Nguồ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a2b520656bd4323" /></Relationships>
</file>

<file path=xl/worksheets/_rels/sheet2.xml.rels>&#65279;<?xml version="1.0" encoding="utf-8"?><Relationships xmlns="http://schemas.openxmlformats.org/package/2006/relationships"><Relationship Type="http://schemas.openxmlformats.org/officeDocument/2006/relationships/table" Target="/xl/tables/table2.xml" Id="R23b574e344c34a1f" /></Relationships>
</file>

<file path=xl/worksheets/_rels/sheet3.xml.rels>&#65279;<?xml version="1.0" encoding="utf-8"?><Relationships xmlns="http://schemas.openxmlformats.org/package/2006/relationships"><Relationship Type="http://schemas.openxmlformats.org/officeDocument/2006/relationships/table" Target="/xl/tables/table3.xml" Id="Rb7a2ca63a19a47c4" /></Relationships>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4" hidden="0" customWidth="1"/>
    <x:col min="2" max="2" width="21" hidden="0" customWidth="1"/>
    <x:col min="3" max="3" width="38" hidden="0" customWidth="1"/>
    <x:col min="4" max="4" width="34" hidden="0" customWidth="1"/>
    <x:col min="5" max="5" width="31" hidden="0" customWidth="1"/>
    <x:col min="6" max="6" width="43" hidden="0" customWidth="1"/>
    <x:col min="7" max="7" width="43" hidden="0" customWidth="1"/>
    <x:col min="8" max="8" width="53" hidden="0" customWidth="1"/>
    <x:col min="9" max="9" width="14" hidden="0" customWidth="1"/>
    <x:col min="10" max="10" width="21" hidden="0" customWidth="1"/>
    <x:col min="11" max="11" width="17" hidden="0" customWidth="1"/>
    <x:col min="12" max="12" width="57" hidden="0" customWidth="1"/>
  </x:cols>
  <x:sheetData>
    <x:row r="1" ht="34" customHeight="1">
      <x:c r="A1" s="4" t="str">
        <x:v>FIX2FA  |  BUSINESS / OWNER UAT  |  TEST CASES</x:v>
      </x:c>
      <x:c r="B1" s="4"/>
      <x:c r="C1" s="4"/>
      <x:c r="D1" s="4"/>
      <x:c r="E1" s="4"/>
      <x:c r="F1" s="4"/>
      <x:c r="G1" s="4"/>
      <x:c r="H1" s="4"/>
      <x:c r="I1" s="4"/>
      <x:c r="J1" s="4"/>
      <x:c r="K1" s="4"/>
      <x:c r="L1" s="4"/>
    </x:row>
    <x:row r="2" ht="28" customHeight="1">
      <x:c r="A2" s="10" t="str">
        <x:v>Nhánh: Fix2FA  •  commit a0c8daad  •  23/10/2026  •  CASE PASS là những trường hợp thực sự có bằng chứng; case chưa chạy giữ NOT RUN.</x:v>
      </x:c>
      <x:c r="B2" s="10"/>
      <x:c r="C2" s="10"/>
      <x:c r="D2" s="10"/>
      <x:c r="E2" s="10"/>
      <x:c r="F2" s="10"/>
      <x:c r="G2" s="10"/>
      <x:c r="H2" s="10"/>
      <x:c r="I2" s="10"/>
      <x:c r="J2" s="10"/>
      <x:c r="K2" s="10"/>
      <x:c r="L2" s="10"/>
    </x:row>
    <x:row r="3" ht="26" customHeight="1">
      <x:c r="A3" s="16" t="str">
        <x:v>BLOCKED = tình trạng lịch sử khi ReservationService thiếu; đã retest PASS ở PARK-03. REVIEW = chờ đối chiếu AC, không phải bug được xác nhận.</x:v>
      </x:c>
      <x:c r="B3" s="16"/>
      <x:c r="C3" s="16"/>
      <x:c r="D3" s="16"/>
      <x:c r="E3" s="16"/>
      <x:c r="F3" s="16"/>
      <x:c r="G3" s="16"/>
      <x:c r="H3" s="16"/>
      <x:c r="I3" s="16"/>
      <x:c r="J3" s="16"/>
      <x:c r="K3" s="16"/>
      <x:c r="L3" s="16"/>
    </x:row>
    <x:row r="5" ht="32" customHeight="1">
      <x:c r="A5" s="23" t="str">
        <x:v>Case ID</x:v>
      </x:c>
      <x:c r="B5" s="23" t="str">
        <x:v>Module</x:v>
      </x:c>
      <x:c r="C5" s="23" t="str">
        <x:v>Kịch bản</x:v>
      </x:c>
      <x:c r="D5" s="23" t="str">
        <x:v>Tiền điều kiện</x:v>
      </x:c>
      <x:c r="E5" s="23" t="str">
        <x:v>Dữ liệu test</x:v>
      </x:c>
      <x:c r="F5" s="23" t="str">
        <x:v>Bước thực hiện</x:v>
      </x:c>
      <x:c r="G5" s="23" t="str">
        <x:v>Expected</x:v>
      </x:c>
      <x:c r="H5" s="23" t="str">
        <x:v>Actual / Evidence</x:v>
      </x:c>
      <x:c r="I5" s="23" t="str">
        <x:v>Status</x:v>
      </x:c>
      <x:c r="J5" s="23" t="str">
        <x:v>HTTP</x:v>
      </x:c>
      <x:c r="K5" s="23" t="str">
        <x:v>Evidence ID</x:v>
      </x:c>
      <x:c r="L5" s="23" t="str">
        <x:v>Ghi chú</x:v>
      </x:c>
    </x:row>
    <x:row r="6" ht="68" customHeight="1">
      <x:c r="A6" s="34" t="str">
        <x:v>REG-01</x:v>
      </x:c>
      <x:c r="B6" s="30" t="str">
        <x:v>Registration</x:v>
      </x:c>
      <x:c r="C6" s="30" t="str">
        <x:v>Tạo Business/Owner mới hợp lệ</x:v>
      </x:c>
      <x:c r="D6" s="30" t="str">
        <x:v>Email/số điện thoại QA chưa tồn tại</x:v>
      </x:c>
      <x:c r="E6" s="30" t="str">
        <x:v>Business QA; 5 bước parking setup</x:v>
      </x:c>
      <x:c r="F6" s="30" t="str">
        <x:v>Mở Sign Up &gt; Business &gt; nhập dữ liệu &gt; hoàn tất setup</x:v>
      </x:c>
      <x:c r="G6" s="30" t="str">
        <x:v>Tạo hồ sơ chờ xác minh; đi tiếp đúng bước</x:v>
      </x:c>
      <x:c r="H6" s="30" t="str">
        <x:v>Đăng ký và lưu setup thành công</x:v>
      </x:c>
      <x:c r="I6" s="37" t="str">
        <x:v>PASS</x:v>
      </x:c>
      <x:c r="J6" s="30" t="str">
        <x:v>—</x:v>
      </x:c>
      <x:c r="K6" s="30" t="str">
        <x:v>E-02</x:v>
      </x:c>
      <x:c r="L6" s="30" t="str">
        <x:v>Đã quan sát luồng E2E; không dùng tài khoản để test lại</x:v>
      </x:c>
    </x:row>
    <x:row r="7" ht="68" customHeight="1">
      <x:c r="A7" s="34" t="str">
        <x:v>REG-02</x:v>
      </x:c>
      <x:c r="B7" s="30" t="str">
        <x:v>Registration</x:v>
      </x:c>
      <x:c r="C7" s="30" t="str">
        <x:v>Email + phone đã tồn tại</x:v>
      </x:c>
      <x:c r="D7" s="30" t="str">
        <x:v>Tồn tại contact đã đăng ký</x:v>
      </x:c>
      <x:c r="E7" s="30" t="str">
        <x:v>Email và phone trùng</x:v>
      </x:c>
      <x:c r="F7" s="30" t="str">
        <x:v>Gửi form Business Signup</x:v>
      </x:c>
      <x:c r="G7" s="30" t="str">
        <x:v>Từ chối; không tạo bản ghi</x:v>
      </x:c>
      <x:c r="H7" s="30" t="str">
        <x:v>POST owner 409 CONTACT_EXISTS; form không sang bước mới</x:v>
      </x:c>
      <x:c r="I7" s="37" t="str">
        <x:v>PASS</x:v>
      </x:c>
      <x:c r="J7" s="30" t="str">
        <x:v>409</x:v>
      </x:c>
      <x:c r="K7" s="30" t="str">
        <x:v>—</x:v>
      </x:c>
      <x:c r="L7" s="30" t="str">
        <x:v>Response được ghi nhận trong hội thoại</x:v>
      </x:c>
    </x:row>
    <x:row r="8" ht="68" customHeight="1">
      <x:c r="A8" s="34" t="str">
        <x:v>REG-03</x:v>
      </x:c>
      <x:c r="B8" s="30" t="str">
        <x:v>Registration</x:v>
      </x:c>
      <x:c r="C8" s="30" t="str">
        <x:v>Email sai định dạng</x:v>
      </x:c>
      <x:c r="D8" s="30" t="str">
        <x:v>Mở Signup</x:v>
      </x:c>
      <x:c r="E8" s="30" t="str">
        <x:v>invalid-email</x:v>
      </x:c>
      <x:c r="F8" s="30" t="str">
        <x:v>Điền email không đúng &gt; Submit</x:v>
      </x:c>
      <x:c r="G8" s="30" t="str">
        <x:v>Client chặn dữ liệu không hợp lệ</x:v>
      </x:c>
      <x:c r="H8" s="30" t="str">
        <x:v>Browser native validation chặn submit</x:v>
      </x:c>
      <x:c r="I8" s="37" t="str">
        <x:v>PASS</x:v>
      </x:c>
      <x:c r="J8" s="30" t="str">
        <x:v>No request</x:v>
      </x:c>
      <x:c r="K8" s="30" t="str">
        <x:v>—</x:v>
      </x:c>
      <x:c r="L8" s="30" t="str">
        <x:v>Chỉ kiểm tra client validation</x:v>
      </x:c>
    </x:row>
    <x:row r="9" ht="68" customHeight="1">
      <x:c r="A9" s="34" t="str">
        <x:v>REG-04</x:v>
      </x:c>
      <x:c r="B9" s="30" t="str">
        <x:v>Registration</x:v>
      </x:c>
      <x:c r="C9" s="30" t="str">
        <x:v>Phone sai định dạng</x:v>
      </x:c>
      <x:c r="D9" s="30" t="str">
        <x:v>Mở Signup</x:v>
      </x:c>
      <x:c r="E9" s="30" t="str">
        <x:v>abc123</x:v>
      </x:c>
      <x:c r="F9" s="30" t="str">
        <x:v>Điền số điện thoại không hợp lệ &gt; Submit</x:v>
      </x:c>
      <x:c r="G9" s="30" t="str">
        <x:v>API từ chối phone không hợp lệ</x:v>
      </x:c>
      <x:c r="H9" s="30" t="str">
        <x:v>HTTP 400; FE hiển thị regex và chuỗi recovery sai ngữ cảnh</x:v>
      </x:c>
      <x:c r="I9" s="37" t="str">
        <x:v>PASS</x:v>
      </x:c>
      <x:c r="J9" s="30" t="str">
        <x:v>400</x:v>
      </x:c>
      <x:c r="K9" s="30" t="str">
        <x:v>E-01</x:v>
      </x:c>
      <x:c r="L9" s="30" t="str">
        <x:v>Backend PASS; tạo issue UX-01/02 riêng</x:v>
      </x:c>
    </x:row>
    <x:row r="10" ht="68" customHeight="1">
      <x:c r="A10" s="34" t="str">
        <x:v>REG-05</x:v>
      </x:c>
      <x:c r="B10" s="30" t="str">
        <x:v>Registration</x:v>
      </x:c>
      <x:c r="C10" s="30" t="str">
        <x:v>Phone trùng, email khác</x:v>
      </x:c>
      <x:c r="D10" s="30" t="str">
        <x:v>Phone tồn tại</x:v>
      </x:c>
      <x:c r="E10" s="30" t="str">
        <x:v>QA alias khác; phone trùng</x:v>
      </x:c>
      <x:c r="F10" s="30" t="str">
        <x:v>Gửi signup</x:v>
      </x:c>
      <x:c r="G10" s="30" t="str">
        <x:v>Từ chối; không đi tiếp</x:v>
      </x:c>
      <x:c r="H10" s="30" t="str">
        <x:v>FE báo CONTACT_EXISTS và giữ form</x:v>
      </x:c>
      <x:c r="I10" s="37" t="str">
        <x:v>PASS</x:v>
      </x:c>
      <x:c r="J10" s="30" t="str">
        <x:v>Chưa lưu rõ</x:v>
      </x:c>
      <x:c r="K10" s="30" t="str">
        <x:v>—</x:v>
      </x:c>
      <x:c r="L10" s="30" t="str">
        <x:v>Status giao diện PASS; HTTP cần evidence nếu muốn khẳng định</x:v>
      </x:c>
    </x:row>
    <x:row r="11" ht="68" customHeight="1">
      <x:c r="A11" s="34" t="str">
        <x:v>REG-06</x:v>
      </x:c>
      <x:c r="B11" s="30" t="str">
        <x:v>Registration</x:v>
      </x:c>
      <x:c r="C11" s="30" t="str">
        <x:v>Wizard 5 bước Parking Lot Setup</x:v>
      </x:c>
      <x:c r="D11" s="30" t="str">
        <x:v>Hồ sơ đang đăng ký</x:v>
      </x:c>
      <x:c r="E11" s="30" t="str">
        <x:v>TC-OTP-01 Outdoor Lot; 50 slots khai báo</x:v>
      </x:c>
      <x:c r="F11" s="30" t="str">
        <x:v>Hoàn thành loại bãi, thông tin, thiết bị, giá, xác nhận</x:v>
      </x:c>
      <x:c r="G11" s="30" t="str">
        <x:v>Wizard lưu dữ liệu và đến xác minh email</x:v>
      </x:c>
      <x:c r="H11" s="30" t="str">
        <x:v>Tới Verify Email sau khi Save Lot</x:v>
      </x:c>
      <x:c r="I11" s="37" t="str">
        <x:v>PASS</x:v>
      </x:c>
      <x:c r="J11" s="30" t="str">
        <x:v>—</x:v>
      </x:c>
      <x:c r="K11" s="30" t="str">
        <x:v>E-02</x:v>
      </x:c>
      <x:c r="L11" s="30" t="str">
        <x:v>50 slots trong form đăng ký khác số slot vật lý tạo sau</x:v>
      </x:c>
    </x:row>
    <x:row r="12" ht="68" customHeight="1">
      <x:c r="A12" s="34" t="str">
        <x:v>OTP-01</x:v>
      </x:c>
      <x:c r="B12" s="30" t="str">
        <x:v>Email OTP</x:v>
      </x:c>
      <x:c r="C12" s="30" t="str">
        <x:v>Nhập OTP không đúng</x:v>
      </x:c>
      <x:c r="D12" s="30" t="str">
        <x:v>Có challenge xác minh đang còn hạn</x:v>
      </x:c>
      <x:c r="E12" s="30" t="str">
        <x:v>OTP cố tình sai</x:v>
      </x:c>
      <x:c r="F12" s="30" t="str">
        <x:v>Verify với mã sai</x:v>
      </x:c>
      <x:c r="G12" s="30" t="str">
        <x:v>Từ chối, không xác minh contact</x:v>
      </x:c>
      <x:c r="H12" s="30" t="str">
        <x:v>HTTP 400 OTP_INVALID; UI không hoàn thành xác minh</x:v>
      </x:c>
      <x:c r="I12" s="37" t="str">
        <x:v>PASS</x:v>
      </x:c>
      <x:c r="J12" s="30" t="str">
        <x:v>400</x:v>
      </x:c>
      <x:c r="K12" s="30" t="str">
        <x:v>—</x:v>
      </x:c>
      <x:c r="L12" s="30" t="str">
        <x:v>Đã thử tối đa 2 lần; không thử lockout</x:v>
      </x:c>
    </x:row>
    <x:row r="13" ht="68" customHeight="1">
      <x:c r="A13" s="34" t="str">
        <x:v>OTP-02</x:v>
      </x:c>
      <x:c r="B13" s="30" t="str">
        <x:v>Email OTP</x:v>
      </x:c>
      <x:c r="C13" s="30" t="str">
        <x:v>Resend sau khi UI countdown kết thúc</x:v>
      </x:c>
      <x:c r="D13" s="30" t="str">
        <x:v>Challenge OTP đã phát, countdown hết</x:v>
      </x:c>
      <x:c r="E13" s="30" t="str">
        <x:v>Resend OTP</x:v>
      </x:c>
      <x:c r="F13" s="30" t="str">
        <x:v>Bấm Resend một lần</x:v>
      </x:c>
      <x:c r="G13" s="30" t="str">
        <x:v>Phát challenge/cập nhật và cooldown FE</x:v>
      </x:c>
      <x:c r="H13" s="30" t="str">
        <x:v>HTTP 200 success:true; deliveryStatus:pending; FE hiển thị queued + cooldown; email mới được nhận</x:v>
      </x:c>
      <x:c r="I13" s="37" t="str">
        <x:v>PASS</x:v>
      </x:c>
      <x:c r="J13" s="30" t="str">
        <x:v>200</x:v>
      </x:c>
      <x:c r="K13" s="30" t="str">
        <x:v>—</x:v>
      </x:c>
      <x:c r="L13" s="30" t="str">
        <x:v>deliveryStatus pending lúc API trả về không phải sent</x:v>
      </x:c>
    </x:row>
    <x:row r="14" ht="68" customHeight="1">
      <x:c r="A14" s="34" t="str">
        <x:v>OTP-03</x:v>
      </x:c>
      <x:c r="B14" s="30" t="str">
        <x:v>Email OTP</x:v>
      </x:c>
      <x:c r="C14" s="30" t="str">
        <x:v>Xác minh OTP mới hợp lệ</x:v>
      </x:c>
      <x:c r="D14" s="30" t="str">
        <x:v>OTP mới từ Gmail trong hạn</x:v>
      </x:c>
      <x:c r="E14" s="30" t="str">
        <x:v>Mã email mới (không lưu mã)</x:v>
      </x:c>
      <x:c r="F14" s="30" t="str">
        <x:v>Điền mã &gt; Verify</x:v>
      </x:c>
      <x:c r="G14" s="30" t="str">
        <x:v>Xác minh và gửi hồ sơ Admin review</x:v>
      </x:c>
      <x:c r="H14" s="30" t="str">
        <x:v>HTTP 200 success:true; màn Application Submitted</x:v>
      </x:c>
      <x:c r="I14" s="37" t="str">
        <x:v>PASS</x:v>
      </x:c>
      <x:c r="J14" s="30" t="str">
        <x:v>200</x:v>
      </x:c>
      <x:c r="K14" s="30" t="str">
        <x:v>E-02</x:v>
      </x:c>
      <x:c r="L14" s="30" t="str">
        <x:v>Không ghi OTP thô vào báo cáo</x:v>
      </x:c>
    </x:row>
    <x:row r="15" ht="68" customHeight="1">
      <x:c r="A15" s="34" t="str">
        <x:v>APR-01</x:v>
      </x:c>
      <x:c r="B15" s="30" t="str">
        <x:v>Admin Review</x:v>
      </x:c>
      <x:c r="C15" s="30" t="str">
        <x:v>Admin nhìn thấy hồ sơ Pending/Verified</x:v>
      </x:c>
      <x:c r="D15" s="30" t="str">
        <x:v>Email đã xác minh</x:v>
      </x:c>
      <x:c r="E15" s="30" t="str">
        <x:v>TC-OTP-01</x:v>
      </x:c>
      <x:c r="F15" s="30" t="str">
        <x:v>Mở Owner Partnership Applications</x:v>
      </x:c>
      <x:c r="G15" s="30" t="str">
        <x:v>Hồ sơ Pending Review và contact Verified</x:v>
      </x:c>
      <x:c r="H15" s="30" t="str">
        <x:v>API owner-applications 200; lot/contacts khớp</x:v>
      </x:c>
      <x:c r="I15" s="37" t="str">
        <x:v>PASS</x:v>
      </x:c>
      <x:c r="J15" s="30" t="str">
        <x:v>200</x:v>
      </x:c>
      <x:c r="K15" s="30" t="str">
        <x:v>—</x:v>
      </x:c>
      <x:c r="L15" s="30" t="str">
        <x:v>UI+API đã đối chiếu</x:v>
      </x:c>
    </x:row>
    <x:row r="16" ht="68" customHeight="1">
      <x:c r="A16" s="34" t="str">
        <x:v>APR-02</x:v>
      </x:c>
      <x:c r="B16" s="30" t="str">
        <x:v>Admin Review</x:v>
      </x:c>
      <x:c r="C16" s="30" t="str">
        <x:v>Duyệt hồ sơ hợp lệ</x:v>
      </x:c>
      <x:c r="D16" s="30" t="str">
        <x:v>Đăng nhập Admin; hồ sơ Pending</x:v>
      </x:c>
      <x:c r="E16" s="30" t="str">
        <x:v>Approve TC-OTP-01</x:v>
      </x:c>
      <x:c r="F16" s="30" t="str">
        <x:v>Approve một lần &gt; refresh</x:v>
      </x:c>
      <x:c r="G16" s="30" t="str">
        <x:v>Hồ sơ Approved và giữ trạng thái</x:v>
      </x:c>
      <x:c r="H16" s="30" t="str">
        <x:v>Review HTTP 200; Admin trạng thái Approved</x:v>
      </x:c>
      <x:c r="I16" s="37" t="str">
        <x:v>PASS</x:v>
      </x:c>
      <x:c r="J16" s="30" t="str">
        <x:v>200</x:v>
      </x:c>
      <x:c r="K16" s="30" t="str">
        <x:v>—</x:v>
      </x:c>
      <x:c r="L16" s="30" t="str">
        <x:v>Email quyết định đến hộp thư được quan sát trong luồng Business đầu</x:v>
      </x:c>
    </x:row>
    <x:row r="17" ht="68" customHeight="1">
      <x:c r="A17" s="34" t="str">
        <x:v>APR-03</x:v>
      </x:c>
      <x:c r="B17" s="30" t="str">
        <x:v>Admin Review</x:v>
      </x:c>
      <x:c r="C17" s="30" t="str">
        <x:v>Thông báo phê duyệt qua email</x:v>
      </x:c>
      <x:c r="D17" s="30" t="str">
        <x:v>Hồ sơ Business trước đã Approve</x:v>
      </x:c>
      <x:c r="E17" s="30" t="str">
        <x:v>Approval notification</x:v>
      </x:c>
      <x:c r="F17" s="30" t="str">
        <x:v>Kiểm tra Gmail</x:v>
      </x:c>
      <x:c r="G17" s="30" t="str">
        <x:v>Gửi thông báo approved</x:v>
      </x:c>
      <x:c r="H17" s="30" t="str">
        <x:v>Gmail nhận SmartPark application decision, approved</x:v>
      </x:c>
      <x:c r="I17" s="37" t="str">
        <x:v>PASS</x:v>
      </x:c>
      <x:c r="J17" s="30" t="str">
        <x:v>—</x:v>
      </x:c>
      <x:c r="K17" s="30" t="str">
        <x:v>—</x:v>
      </x:c>
      <x:c r="L17" s="30" t="str">
        <x:v>Thử nghiệm trên hồ sơ Business đầu, không mặc định áp dụng mọi hồ sơ</x:v>
      </x:c>
    </x:row>
    <x:row r="18" ht="68" customHeight="1">
      <x:c r="A18" s="34" t="str">
        <x:v>AUTH-01</x:v>
      </x:c>
      <x:c r="B18" s="30" t="str">
        <x:v>Owner Auth</x:v>
      </x:c>
      <x:c r="C18" s="30" t="str">
        <x:v>Chặn OTP login khi Pending</x:v>
      </x:c>
      <x:c r="D18" s="30" t="str">
        <x:v>Business chưa Approved</x:v>
      </x:c>
      <x:c r="E18" s="30" t="str">
        <x:v>TC-OTP-01 Pending</x:v>
      </x:c>
      <x:c r="F18" s="30" t="str">
        <x:v>Yêu cầu OTP sign-in</x:v>
      </x:c>
      <x:c r="G18" s="30" t="str">
        <x:v>Không cấp OTP login trước phê duyệt</x:v>
      </x:c>
      <x:c r="H18" s="30" t="str">
        <x:v>HTTP 403 ACCOUNT_PENDING_APPROVAL; FE hiện Application Submitted</x:v>
      </x:c>
      <x:c r="I18" s="37" t="str">
        <x:v>PASS</x:v>
      </x:c>
      <x:c r="J18" s="30" t="str">
        <x:v>403</x:v>
      </x:c>
      <x:c r="K18" s="30" t="str">
        <x:v>—</x:v>
      </x:c>
      <x:c r="L18" s="30" t="str">
        <x:v>Phân biệt với authz endpoint nghiệp vụ</x:v>
      </x:c>
    </x:row>
    <x:row r="19" ht="68" customHeight="1">
      <x:c r="A19" s="34" t="str">
        <x:v>AUTH-02</x:v>
      </x:c>
      <x:c r="B19" s="30" t="str">
        <x:v>Owner Auth</x:v>
      </x:c>
      <x:c r="C19" s="30" t="str">
        <x:v>Yêu cầu OTP sau khi Approved</x:v>
      </x:c>
      <x:c r="D19" s="30" t="str">
        <x:v>Business đã Approved</x:v>
      </x:c>
      <x:c r="E19" s="30" t="str">
        <x:v>TC-OTP-01</x:v>
      </x:c>
      <x:c r="F19" s="30" t="str">
        <x:v>Request email/SMS OTP</x:v>
      </x:c>
      <x:c r="G19" s="30" t="str">
        <x:v>Chấp nhận yêu cầu challenge</x:v>
      </x:c>
      <x:c r="H19" s="30" t="str">
        <x:v>HTTP 200, success:true challengeId/expiresAt/resendAt</x:v>
      </x:c>
      <x:c r="I19" s="37" t="str">
        <x:v>PASS</x:v>
      </x:c>
      <x:c r="J19" s="30" t="str">
        <x:v>200</x:v>
      </x:c>
      <x:c r="K19" s="30" t="str">
        <x:v>—</x:v>
      </x:c>
      <x:c r="L19" s="30" t="str">
        <x:v>Không chia sẻ mã OTP/challenge ID trong báo cáo</x:v>
      </x:c>
    </x:row>
    <x:row r="20" ht="68" customHeight="1">
      <x:c r="A20" s="34" t="str">
        <x:v>AUTH-03</x:v>
      </x:c>
      <x:c r="B20" s="30" t="str">
        <x:v>Owner Auth</x:v>
      </x:c>
      <x:c r="C20" s="30" t="str">
        <x:v>Owner đăng nhập thành công</x:v>
      </x:c>
      <x:c r="D20" s="30" t="str">
        <x:v>Approved + OTP hợp lệ</x:v>
      </x:c>
      <x:c r="E20" s="30" t="str">
        <x:v>TC-OTP-01</x:v>
      </x:c>
      <x:c r="F20" s="30" t="str">
        <x:v>Nhập OTP &gt; Sign In</x:v>
      </x:c>
      <x:c r="G20" s="30" t="str">
        <x:v>Vào đúng Owner Dashboard</x:v>
      </x:c>
      <x:c r="H20" s="30" t="str">
        <x:v>Vào Owner Dashboard với tài khoản TC-OTP-01</x:v>
      </x:c>
      <x:c r="I20" s="37" t="str">
        <x:v>PASS</x:v>
      </x:c>
      <x:c r="J20" s="30" t="str">
        <x:v>—</x:v>
      </x:c>
      <x:c r="K20" s="30" t="str">
        <x:v>E-03</x:v>
      </x:c>
      <x:c r="L20" s="30" t="str">
        <x:v>Dashboard tổng quan ban đầu Capacity = 0</x:v>
      </x:c>
    </x:row>
    <x:row r="21" ht="68" customHeight="1">
      <x:c r="A21" s="34" t="str">
        <x:v>PARK-01</x:v>
      </x:c>
      <x:c r="B21" s="30" t="str">
        <x:v>Parking API</x:v>
      </x:c>
      <x:c r="C21" s="30" t="str">
        <x:v>Tải danh sách Parking Lots</x:v>
      </x:c>
      <x:c r="D21" s="30" t="str">
        <x:v>Owner đã đăng nhập</x:v>
      </x:c>
      <x:c r="E21" s="30" t="str">
        <x:v>Outdoor Lot</x:v>
      </x:c>
      <x:c r="F21" s="30" t="str">
        <x:v>Vào My Parking Lots</x:v>
      </x:c>
      <x:c r="G21" s="30" t="str">
        <x:v>Danh sách trả dữ liệu site</x:v>
      </x:c>
      <x:c r="H21" s="30" t="str">
        <x:v>parking-lots HTTP 200; site ACTIVE</x:v>
      </x:c>
      <x:c r="I21" s="37" t="str">
        <x:v>PASS</x:v>
      </x:c>
      <x:c r="J21" s="30" t="str">
        <x:v>200</x:v>
      </x:c>
      <x:c r="K21" s="30" t="str">
        <x:v>E-05</x:v>
      </x:c>
      <x:c r="L21" s="30" t="str">
        <x:v>Không đồng nghĩa structure/capacity sẵn sàng</x:v>
      </x:c>
    </x:row>
    <x:row r="22" ht="68" customHeight="1">
      <x:c r="A22" s="34" t="str">
        <x:v>PARK-02</x:v>
      </x:c>
      <x:c r="B22" s="30" t="str">
        <x:v>Parking API</x:v>
      </x:c>
      <x:c r="C22" s="30" t="str">
        <x:v>Load structure khi thiếu dependency</x:v>
      </x:c>
      <x:c r="D22" s="30" t="str">
        <x:v>ReservationService chưa chạy trong QA</x:v>
      </x:c>
      <x:c r="E22" s="30" t="str">
        <x:v>site ID hiện có</x:v>
      </x:c>
      <x:c r="F22" s="30" t="str">
        <x:v>Refresh Data</x:v>
      </x:c>
      <x:c r="G22" s="30" t="str">
        <x:v>Structure trả dữ liệu hoặc báo lỗi rõ</x:v>
      </x:c>
      <x:c r="H22" s="30" t="str">
        <x:v>HTTP 503 COMMITMENTS_UNAVAILABLE</x:v>
      </x:c>
      <x:c r="I22" s="37" t="str">
        <x:v>BLOCKED</x:v>
      </x:c>
      <x:c r="J22" s="30" t="str">
        <x:v>503</x:v>
      </x:c>
      <x:c r="K22" s="30" t="str">
        <x:v>E-04</x:v>
      </x:c>
      <x:c r="L22" s="30" t="str">
        <x:v>Lỗi môi trường tại lần đầu; đã xử lý và retest ở PARK-03</x:v>
      </x:c>
    </x:row>
    <x:row r="23" ht="68" customHeight="1">
      <x:c r="A23" s="34" t="str">
        <x:v>PARK-03</x:v>
      </x:c>
      <x:c r="B23" s="30" t="str">
        <x:v>Parking API</x:v>
      </x:c>
      <x:c r="C23" s="30" t="str">
        <x:v>Retest structure sau khôi phục Reservation</x:v>
      </x:c>
      <x:c r="D23" s="30" t="str">
        <x:v>DB/ReservationService/Networking được khôi phục</x:v>
      </x:c>
      <x:c r="E23" s="30" t="str">
        <x:v>site hiện có</x:v>
      </x:c>
      <x:c r="F23" s="30" t="str">
        <x:v>Refresh Data</x:v>
      </x:c>
      <x:c r="G23" s="30" t="str">
        <x:v>GET structure thành công</x:v>
      </x:c>
      <x:c r="H23" s="30" t="str">
        <x:v>HTTP 200; structure JSON success:true</x:v>
      </x:c>
      <x:c r="I23" s="37" t="str">
        <x:v>PASS</x:v>
      </x:c>
      <x:c r="J23" s="30" t="str">
        <x:v>200</x:v>
      </x:c>
      <x:c r="K23" s="30" t="str">
        <x:v>E-05</x:v>
      </x:c>
      <x:c r="L23" s="30" t="str">
        <x:v>Trạng thái BLOCKED trước đây đã được giải quyết</x:v>
      </x:c>
    </x:row>
    <x:row r="24" ht="68" customHeight="1">
      <x:c r="A24" s="34" t="str">
        <x:v>PARK-04</x:v>
      </x:c>
      <x:c r="B24" s="30" t="str">
        <x:v>Parking Structure</x:v>
      </x:c>
      <x:c r="C24" s="30" t="str">
        <x:v>Tạo Unit Zone</x:v>
      </x:c>
      <x:c r="D24" s="30" t="str">
        <x:v>Owner đã Approved; site ACTIVE</x:v>
      </x:c>
      <x:c r="E24" s="30" t="str">
        <x:v>ZONE / Khu A - TC-OTP-01 / cap 50</x:v>
      </x:c>
      <x:c r="F24" s="30" t="str">
        <x:v>Add unit &gt; điền &gt; Save</x:v>
      </x:c>
      <x:c r="G24" s="30" t="str">
        <x:v>Unit được tạo thuộc site</x:v>
      </x:c>
      <x:c r="H24" s="30" t="str">
        <x:v>FE Unit created; truy vấn structure sau đó và form Location có Unit</x:v>
      </x:c>
      <x:c r="I24" s="37" t="str">
        <x:v>PASS</x:v>
      </x:c>
      <x:c r="J24" s="30" t="str">
        <x:v>Request units (mã chưa chụp)</x:v>
      </x:c>
      <x:c r="K24" s="30" t="str">
        <x:v>E-06</x:v>
      </x:c>
      <x:c r="L24" s="30" t="str">
        <x:v>Trạng thái HTTP riêng request tạo Unit chưa được ghi trong ảnh</x:v>
      </x:c>
    </x:row>
    <x:row r="25" ht="68" customHeight="1">
      <x:c r="A25" s="34" t="str">
        <x:v>PARK-05</x:v>
      </x:c>
      <x:c r="B25" s="30" t="str">
        <x:v>Parking Structure</x:v>
      </x:c>
      <x:c r="C25" s="30" t="str">
        <x:v>Tạo Slot hợp lệ</x:v>
      </x:c>
      <x:c r="D25" s="30" t="str">
        <x:v>Zone đã tồn tại</x:v>
      </x:c>
      <x:c r="E25" s="30" t="str">
        <x:v>QA-A-001; CAR; STANDARD</x:v>
      </x:c>
      <x:c r="F25" s="30" t="str">
        <x:v>Add slot &gt; nhập &gt; Save</x:v>
      </x:c>
      <x:c r="G25" s="30" t="str">
        <x:v>Tạo slot OPERATIONAL</x:v>
      </x:c>
      <x:c r="H25" s="30" t="str">
        <x:v>FE Slot created; card QA-A-001 xuất hiện</x:v>
      </x:c>
      <x:c r="I25" s="37" t="str">
        <x:v>PASS</x:v>
      </x:c>
      <x:c r="J25" s="30" t="str">
        <x:v>Request slots (mã chưa chụp)</x:v>
      </x:c>
      <x:c r="K25" s="30" t="str">
        <x:v>E-07</x:v>
      </x:c>
      <x:c r="L25" s="30" t="str">
        <x:v>Nên không tự khẳng định HTTP 201</x:v>
      </x:c>
    </x:row>
    <x:row r="26" ht="68" customHeight="1">
      <x:c r="A26" s="34" t="str">
        <x:v>PARK-06</x:v>
      </x:c>
      <x:c r="B26" s="30" t="str">
        <x:v>Parking Structure</x:v>
      </x:c>
      <x:c r="C26" s="30" t="str">
        <x:v>Cập nhật Capacity khi tạo slot</x:v>
      </x:c>
      <x:c r="D26" s="30" t="str">
        <x:v>Capacity ban đầu = 0</x:v>
      </x:c>
      <x:c r="E26" s="30" t="str">
        <x:v>1 CAR slot</x:v>
      </x:c>
      <x:c r="F26" s="30" t="str">
        <x:v>Lưu slot &gt; quan sát cards</x:v>
      </x:c>
      <x:c r="G26" s="30" t="str">
        <x:v>Physical + Available tăng 1</x:v>
      </x:c>
      <x:c r="H26" s="30" t="str">
        <x:v>Physical 0→1, Available 0→1</x:v>
      </x:c>
      <x:c r="I26" s="37" t="str">
        <x:v>PASS</x:v>
      </x:c>
      <x:c r="J26" s="30" t="str">
        <x:v>—</x:v>
      </x:c>
      <x:c r="K26" s="30" t="str">
        <x:v>E-07</x:v>
      </x:c>
      <x:c r="L26" s="30" t="str">
        <x:v>Unit cap 50 là giới hạn, không phải tự tạo 50 slot</x:v>
      </x:c>
    </x:row>
    <x:row r="27" ht="68" customHeight="1">
      <x:c r="A27" s="34" t="str">
        <x:v>PARK-07</x:v>
      </x:c>
      <x:c r="B27" s="30" t="str">
        <x:v>Parking Structure</x:v>
      </x:c>
      <x:c r="C27" s="30" t="str">
        <x:v>Persistence sau F5 và điều hướng</x:v>
      </x:c>
      <x:c r="D27" s="30" t="str">
        <x:v>Slot QA-A-001 được tạo</x:v>
      </x:c>
      <x:c r="E27" s="30" t="str">
        <x:v>QA-A-001</x:v>
      </x:c>
      <x:c r="F27" s="30" t="str">
        <x:v>F5 &gt; Parking Lots &gt; Structure</x:v>
      </x:c>
      <x:c r="G27" s="30" t="str">
        <x:v>Slot và capacity không mất</x:v>
      </x:c>
      <x:c r="H27" s="30" t="str">
        <x:v>Owner Dashboard=1; Lot overview=1; slot QA-A-001 còn; Showing 1/1</x:v>
      </x:c>
      <x:c r="I27" s="37" t="str">
        <x:v>PASS</x:v>
      </x:c>
      <x:c r="J27" s="30" t="str">
        <x:v>structure 200</x:v>
      </x:c>
      <x:c r="K27" s="30" t="str">
        <x:v>E-08</x:v>
      </x:c>
      <x:c r="L27" s="30" t="str">
        <x:v>Đã xác nhận cả Overview và Structure</x:v>
      </x:c>
    </x:row>
    <x:row r="28" ht="68" customHeight="1">
      <x:c r="A28" s="34" t="str">
        <x:v>PARK-08</x:v>
      </x:c>
      <x:c r="B28" s="30" t="str">
        <x:v>Parking Structure</x:v>
      </x:c>
      <x:c r="C28" s="30" t="str">
        <x:v>Không tạo Slot Code trùng trong site</x:v>
      </x:c>
      <x:c r="D28" s="30" t="str">
        <x:v>Site có QA-A-001</x:v>
      </x:c>
      <x:c r="E28" s="30" t="str">
        <x:v>QA-A-001 / CAR / STANDARD</x:v>
      </x:c>
      <x:c r="F28" s="30" t="str">
        <x:v>Add Slot cùng code</x:v>
      </x:c>
      <x:c r="G28" s="30" t="str">
        <x:v>HTTP 409, không tăng capacity</x:v>
      </x:c>
      <x:c r="H28" s="30" t="str">
        <x:v>HTTP 409 DUPLICATE_IDENTIFIER; FE lỗi đúng; Physical=1</x:v>
      </x:c>
      <x:c r="I28" s="37" t="str">
        <x:v>PASS</x:v>
      </x:c>
      <x:c r="J28" s="30" t="str">
        <x:v>409</x:v>
      </x:c>
      <x:c r="K28" s="30" t="str">
        <x:v>E-09</x:v>
      </x:c>
      <x:c r="L28" s="30" t="str">
        <x:v>FE giữ form/dữ liệu nhập</x:v>
      </x:c>
    </x:row>
    <x:row r="29" ht="68" customHeight="1">
      <x:c r="A29" s="34" t="str">
        <x:v>LOG-01</x:v>
      </x:c>
      <x:c r="B29" s="30" t="str">
        <x:v>Owner Logout</x:v>
      </x:c>
      <x:c r="C29" s="30" t="str">
        <x:v>Owner Logout</x:v>
      </x:c>
      <x:c r="D29" s="30" t="str">
        <x:v>Owner đang đăng nhập</x:v>
      </x:c>
      <x:c r="E29" s="30" t="str">
        <x:v>TC-OTP-01</x:v>
      </x:c>
      <x:c r="F29" s="30" t="str">
        <x:v>Account menu &gt; Logout</x:v>
      </x:c>
      <x:c r="G29" s="30" t="str">
        <x:v>API thành công; quay trang công khai</x:v>
      </x:c>
      <x:c r="H29" s="30" t="str">
        <x:v>HTTP 200, Logout successful; chuyển Home Sign In/Sign Up</x:v>
      </x:c>
      <x:c r="I29" s="37" t="str">
        <x:v>PASS</x:v>
      </x:c>
      <x:c r="J29" s="30" t="str">
        <x:v>200</x:v>
      </x:c>
      <x:c r="K29" s="30" t="str">
        <x:v>E-10</x:v>
      </x:c>
      <x:c r="L29" s="30" t="str">
        <x:v>Không chứng minh revoke old token</x:v>
      </x:c>
    </x:row>
    <x:row r="30" ht="68" customHeight="1">
      <x:c r="A30" s="34" t="str">
        <x:v>LOG-02</x:v>
      </x:c>
      <x:c r="B30" s="30" t="str">
        <x:v>Owner Logout</x:v>
      </x:c>
      <x:c r="C30" s="30" t="str">
        <x:v>Điều hướng Back sau Logout</x:v>
      </x:c>
      <x:c r="D30" s="30" t="str">
        <x:v>Đã logout</x:v>
      </x:c>
      <x:c r="E30" s="30" t="str">
        <x:v>Tab ẩn danh</x:v>
      </x:c>
      <x:c r="F30" s="30" t="str">
        <x:v>Back trình duyệt</x:v>
      </x:c>
      <x:c r="G30" s="30" t="str">
        <x:v>Không khôi phục Owner Dashboard có phiên hoạt động</x:v>
      </x:c>
      <x:c r="H30" s="30" t="str">
        <x:v>Trình duyệt về tab mới/landing, không mở Owner Dashboard</x:v>
      </x:c>
      <x:c r="I30" s="37" t="str">
        <x:v>PASS</x:v>
      </x:c>
      <x:c r="J30" s="30" t="str">
        <x:v>—</x:v>
      </x:c>
      <x:c r="K30" s="30" t="str">
        <x:v>E-10</x:v>
      </x:c>
      <x:c r="L30" s="30" t="str">
        <x:v>Chỉ là kiểm thử điều hướng UI</x:v>
      </x:c>
    </x:row>
    <x:row r="31" ht="68" customHeight="1">
      <x:c r="A31" s="34" t="str">
        <x:v>SEC-01</x:v>
      </x:c>
      <x:c r="B31" s="30" t="str">
        <x:v>Authorization</x:v>
      </x:c>
      <x:c r="C31" s="30" t="str">
        <x:v>GET structure không có xác thực</x:v>
      </x:c>
      <x:c r="D31" s="30" t="str">
        <x:v>Không đăng nhập, tab ẩn danh</x:v>
      </x:c>
      <x:c r="E31" s="30" t="str">
        <x:v>GET /api/parking-lots/{id}/structure</x:v>
      </x:c>
      <x:c r="F31" s="30" t="str">
        <x:v>Mở URL trực tiếp &gt; F5 &gt; kiểm Network</x:v>
      </x:c>
      <x:c r="G31" s="30" t="str">
        <x:v>API yêu cầu đăng nhập</x:v>
      </x:c>
      <x:c r="H31" s="30" t="str">
        <x:v>HTTP 401, UNAUTHENTICATED, Sign in as an Owner.</x:v>
      </x:c>
      <x:c r="I31" s="37" t="str">
        <x:v>PASS</x:v>
      </x:c>
      <x:c r="J31" s="30" t="str">
        <x:v>401</x:v>
      </x:c>
      <x:c r="K31" s="30" t="str">
        <x:v>E-11</x:v>
      </x:c>
      <x:c r="L31" s="30" t="str">
        <x:v>Không thay thế kiểm thử revoke access token</x:v>
      </x:c>
    </x:row>
    <x:row r="32" ht="68" customHeight="1">
      <x:c r="A32" s="34" t="str">
        <x:v>OTP-04</x:v>
      </x:c>
      <x:c r="B32" s="30" t="str">
        <x:v>Email OTP</x:v>
      </x:c>
      <x:c r="C32" s="30" t="str">
        <x:v>OTP hết hạn</x:v>
      </x:c>
      <x:c r="D32" s="30" t="str">
        <x:v>Cần challenge đã hết hạn</x:v>
      </x:c>
      <x:c r="E32" s="30" t="str">
        <x:v>Expired OTP</x:v>
      </x:c>
      <x:c r="F32" s="30" t="str">
        <x:v>Verify sau expiresAt</x:v>
      </x:c>
      <x:c r="G32" s="30" t="str">
        <x:v>Từ chối OTP_EXPIRED (tùy đặc tả)</x:v>
      </x:c>
      <x:c r="H32" s="30" t="str">
        <x:v>Không thực hiện</x:v>
      </x:c>
      <x:c r="I32" s="37" t="str">
        <x:v>NOT RUN</x:v>
      </x:c>
      <x:c r="J32" s="30" t="str">
        <x:v>—</x:v>
      </x:c>
      <x:c r="K32" s="30" t="str">
        <x:v>—</x:v>
      </x:c>
      <x:c r="L32" s="30" t="str">
        <x:v>Chưa có evidence</x:v>
      </x:c>
    </x:row>
    <x:row r="33" ht="68" customHeight="1">
      <x:c r="A33" s="34" t="str">
        <x:v>OTP-05</x:v>
      </x:c>
      <x:c r="B33" s="30" t="str">
        <x:v>Email OTP</x:v>
      </x:c>
      <x:c r="C33" s="30" t="str">
        <x:v>Server-side cooldown/rate limit</x:v>
      </x:c>
      <x:c r="D33" s="30" t="str">
        <x:v>OTP challenge trong cooldown</x:v>
      </x:c>
      <x:c r="E33" s="30" t="str">
        <x:v>Resend quá sớm</x:v>
      </x:c>
      <x:c r="F33" s="30" t="str">
        <x:v>Resend trước resendAt</x:v>
      </x:c>
      <x:c r="G33" s="30" t="str">
        <x:v>Từ chối phù hợp (ví dụ 429 nếu tài liệu quy định)</x:v>
      </x:c>
      <x:c r="H33" s="30" t="str">
        <x:v>Chưa test 429/OTP_COOLDOWN</x:v>
      </x:c>
      <x:c r="I33" s="37" t="str">
        <x:v>NOT RUN</x:v>
      </x:c>
      <x:c r="J33" s="30" t="str">
        <x:v>—</x:v>
      </x:c>
      <x:c r="K33" s="30" t="str">
        <x:v>—</x:v>
      </x:c>
      <x:c r="L33" s="30" t="str">
        <x:v>UI countdown PASS không thay test server-side</x:v>
      </x:c>
    </x:row>
    <x:row r="34" ht="68" customHeight="1">
      <x:c r="A34" s="34" t="str">
        <x:v>MFA-01</x:v>
      </x:c>
      <x:c r="B34" s="30" t="str">
        <x:v>MFA</x:v>
      </x:c>
      <x:c r="C34" s="30" t="str">
        <x:v>Authenticator / optional MFA</x:v>
      </x:c>
      <x:c r="D34" s="30" t="str">
        <x:v>Account được bật MFA</x:v>
      </x:c>
      <x:c r="E34" s="30" t="str">
        <x:v>TOTP</x:v>
      </x:c>
      <x:c r="F34" s="30" t="str">
        <x:v>Bật MFA &gt; sign-in cùng mã</x:v>
      </x:c>
      <x:c r="G34" s="30" t="str">
        <x:v>MFA lifecycle đúng đặc tả</x:v>
      </x:c>
      <x:c r="H34" s="30" t="str">
        <x:v>Chưa thực hiện</x:v>
      </x:c>
      <x:c r="I34" s="37" t="str">
        <x:v>NOT RUN</x:v>
      </x:c>
      <x:c r="J34" s="30" t="str">
        <x:v>—</x:v>
      </x:c>
      <x:c r="K34" s="30" t="str">
        <x:v>—</x:v>
      </x:c>
      <x:c r="L34" s="30" t="str">
        <x:v>Ngoài phạm vi luồng OTP basic đã chạy</x:v>
      </x:c>
    </x:row>
    <x:row r="35" ht="68" customHeight="1">
      <x:c r="A35" s="34" t="str">
        <x:v>SEC-02</x:v>
      </x:c>
      <x:c r="B35" s="30" t="str">
        <x:v>Authorization</x:v>
      </x:c>
      <x:c r="C35" s="30" t="str">
        <x:v>Token cũ sau Logout</x:v>
      </x:c>
      <x:c r="D35" s="30" t="str">
        <x:v>Giữ token/snapshot an toàn trước Logout</x:v>
      </x:c>
      <x:c r="E35" s="30" t="str">
        <x:v>Old access/refresh token</x:v>
      </x:c>
      <x:c r="F35" s="30" t="str">
        <x:v>Gọi endpoint bảo vệ bằng token cũ</x:v>
      </x:c>
      <x:c r="G35" s="30" t="str">
        <x:v>Từ chối theo session revocation rule</x:v>
      </x:c>
      <x:c r="H35" s="30" t="str">
        <x:v>Chưa thực hiện</x:v>
      </x:c>
      <x:c r="I35" s="37" t="str">
        <x:v>NOT RUN</x:v>
      </x:c>
      <x:c r="J35" s="30" t="str">
        <x:v>—</x:v>
      </x:c>
      <x:c r="K35" s="30" t="str">
        <x:v>—</x:v>
      </x:c>
      <x:c r="L35" s="30" t="str">
        <x:v>HTTP 401 không auth không chứng minh token revocation</x:v>
      </x:c>
    </x:row>
    <x:row r="36" ht="68" customHeight="1">
      <x:c r="A36" s="34" t="str">
        <x:v>APR-04</x:v>
      </x:c>
      <x:c r="B36" s="30" t="str">
        <x:v>Admin Review</x:v>
      </x:c>
      <x:c r="C36" s="30" t="str">
        <x:v>Admin từ chối / approve retry</x:v>
      </x:c>
      <x:c r="D36" s="30" t="str">
        <x:v>Hồ sơ pending riêng</x:v>
      </x:c>
      <x:c r="E36" s="30" t="str">
        <x:v>Reject, duplicate review</x:v>
      </x:c>
      <x:c r="F36" s="30" t="str">
        <x:v>Chạy các chuyển trạng thái âm</x:v>
      </x:c>
      <x:c r="G36" s="30" t="str">
        <x:v>Từ chối và retry theo đặc tả</x:v>
      </x:c>
      <x:c r="H36" s="30" t="str">
        <x:v>Chưa thực hiện</x:v>
      </x:c>
      <x:c r="I36" s="37" t="str">
        <x:v>NOT RUN</x:v>
      </x:c>
      <x:c r="J36" s="30" t="str">
        <x:v>—</x:v>
      </x:c>
      <x:c r="K36" s="30" t="str">
        <x:v>—</x:v>
      </x:c>
      <x:c r="L36" s="30" t="str">
        <x:v>Cần dự án/criteria nếu yêu cầu</x:v>
      </x:c>
    </x:row>
    <x:row r="37" ht="68" customHeight="1">
      <x:c r="A37" s="34" t="str">
        <x:v>PARK-09</x:v>
      </x:c>
      <x:c r="B37" s="30" t="str">
        <x:v>Business Setup</x:v>
      </x:c>
      <x:c r="C37" s="30" t="str">
        <x:v>50 slots khai báo vs slot vật lý</x:v>
      </x:c>
      <x:c r="D37" s="30" t="str">
        <x:v>Đăng ký khai báo 50; setup backend empty</x:v>
      </x:c>
      <x:c r="E37" s="30" t="str">
        <x:v>50 declared; 0 physical lúc đầu</x:v>
      </x:c>
      <x:c r="F37" s="30" t="str">
        <x:v>Đối chiếu đặc tả/AC provisioning</x:v>
      </x:c>
      <x:c r="G37" s="30" t="str">
        <x:v>Xác định auto provisioning hay manual</x:v>
      </x:c>
      <x:c r="H37" s="30" t="str">
        <x:v>UI hướng dẫn Add Unit rồi Add Slot; sau tự tạo 1 slot thì Capacity=1</x:v>
      </x:c>
      <x:c r="I37" s="37" t="str">
        <x:v>REVIEW</x:v>
      </x:c>
      <x:c r="J37" s="30" t="str">
        <x:v>—</x:v>
      </x:c>
      <x:c r="K37" s="30" t="str">
        <x:v>E-05/E-08</x:v>
      </x:c>
      <x:c r="L37" s="30" t="str">
        <x:v>Không xác nhận bug trước khi đối chiếu đặc tả</x:v>
      </x:c>
    </x:row>
  </x:sheetData>
  <x:mergeCells>
    <x:mergeCell ref="A1:L1"/>
    <x:mergeCell ref="A2:L2"/>
    <x:mergeCell ref="A3:L3"/>
  </x:mergeCells>
  <x:conditionalFormatting sqref="I6:I37">
    <x:cfRule type="expression" dxfId="0" priority="1">
      <x:formula>I6="PASS"</x:formula>
    </x:cfRule>
    <x:cfRule type="expression" dxfId="1" priority="2">
      <x:formula>I6="FAIL"</x:formula>
    </x:cfRule>
    <x:cfRule type="expression" dxfId="2" priority="3">
      <x:formula>I6="BLOCKED"</x:formula>
    </x:cfRule>
    <x:cfRule type="expression" dxfId="3" priority="4">
      <x:formula>I6="NOT RUN"</x:formula>
    </x:cfRule>
    <x:cfRule type="expression" dxfId="4" priority="5">
      <x:formula>I6="REVIEW"</x:formula>
    </x:cfRule>
  </x:conditionalFormatting>
  <x:dataValidations count="1">
    <x:dataValidation type="list" sqref="I6:I37">
      <x:formula1>"PASS,FAIL,BLOCKED,NOT RUN,REVIEW"</x:formula1>
    </x:dataValidation>
  </x:dataValidations>
  <x:pageMargins left="0.7" right="0.7" top="0.75" bottom="0.75" header="0.3" footer="0.3"/>
  <x:tableParts count="1">
    <x:tablePart xmlns:r="http://schemas.openxmlformats.org/officeDocument/2006/relationships" r:id="Rda2b520656bd4323"/>
  </x:tableParts>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21" hidden="0" customWidth="1"/>
    <x:col min="3" max="3" width="24" hidden="0" customWidth="1"/>
    <x:col min="4" max="4" width="46" hidden="0" customWidth="1"/>
    <x:col min="5" max="5" width="52" hidden="0" customWidth="1"/>
    <x:col min="6" max="6" width="60" hidden="0" customWidth="1"/>
    <x:col min="7" max="7" width="58" hidden="0" customWidth="1"/>
    <x:col min="8" max="8" width="17" hidden="0" customWidth="1"/>
    <x:col min="9" max="9" width="59" hidden="0" customWidth="1"/>
    <x:col min="10" max="10" width="26" hidden="0" customWidth="1"/>
  </x:cols>
  <x:sheetData>
    <x:row r="1" ht="34" customHeight="1">
      <x:c r="A1" s="4" t="str">
        <x:v>ISSUES  /  CLARIFICATIONS  /  ENVIRONMENT</x:v>
      </x:c>
      <x:c r="B1" s="4"/>
      <x:c r="C1" s="4"/>
      <x:c r="D1" s="4"/>
      <x:c r="E1" s="4"/>
      <x:c r="F1" s="4"/>
      <x:c r="G1" s="4"/>
      <x:c r="H1" s="4"/>
      <x:c r="I1" s="4"/>
      <x:c r="J1" s="4"/>
    </x:row>
    <x:row r="2" ht="29" customHeight="1">
      <x:c r="A2" s="41" t="str">
        <x:v>02 FE UX candidates • 01 yêu cầu cần xác minh • 01 environment issue resolved. Không đánh đồng các nhận định với bug đã được xác nhận.</x:v>
      </x:c>
      <x:c r="B2" s="41"/>
      <x:c r="C2" s="41"/>
      <x:c r="D2" s="41"/>
      <x:c r="E2" s="41"/>
      <x:c r="F2" s="41"/>
      <x:c r="G2" s="41"/>
      <x:c r="H2" s="41"/>
      <x:c r="I2" s="41"/>
      <x:c r="J2" s="41"/>
    </x:row>
    <x:row r="4" ht="32" customHeight="1">
      <x:c r="A4" s="23" t="str">
        <x:v>Issue ID</x:v>
      </x:c>
      <x:c r="B4" s="23" t="str">
        <x:v>Severity</x:v>
      </x:c>
      <x:c r="C4" s="23" t="str">
        <x:v>Category</x:v>
      </x:c>
      <x:c r="D4" s="23" t="str">
        <x:v>Title</x:v>
      </x:c>
      <x:c r="E4" s="23" t="str">
        <x:v>Repro / Trigger</x:v>
      </x:c>
      <x:c r="F4" s="23" t="str">
        <x:v>Actual</x:v>
      </x:c>
      <x:c r="G4" s="23" t="str">
        <x:v>Expected / Action</x:v>
      </x:c>
      <x:c r="H4" s="23" t="str">
        <x:v>Evidence</x:v>
      </x:c>
      <x:c r="I4" s="23" t="str">
        <x:v>Notes</x:v>
      </x:c>
      <x:c r="J4" s="23" t="str">
        <x:v>State</x:v>
      </x:c>
    </x:row>
    <x:row r="5" ht="110" customHeight="1">
      <x:c r="A5" s="30" t="str">
        <x:v>UX-01</x:v>
      </x:c>
      <x:c r="B5" s="30" t="str">
        <x:v>Medium (đề xuất)</x:v>
      </x:c>
      <x:c r="C5" s="30" t="str">
        <x:v>Candidate FE UX</x:v>
      </x:c>
      <x:c r="D5" s="30" t="str">
        <x:v>Validation phone trả regex nguyên văn</x:v>
      </x:c>
      <x:c r="E5" s="30" t="str">
        <x:v>Nhập phone abc123 tại Signup; owner API 400</x:v>
      </x:c>
      <x:c r="F5" s="30" t="str">
        <x:v>FE in nguyên regex ràng buộc thay vì thông báo dễ hiểu</x:v>
      </x:c>
      <x:c r="G5" s="30" t="str">
        <x:v>Hiển thị thông báo ngắn bằng tiếng Việt/Anh, ví dụ số điện thoại không hợp lệ</x:v>
      </x:c>
      <x:c r="H5" s="30" t="str">
        <x:v>E-01</x:v>
      </x:c>
      <x:c r="I5" s="30" t="str">
        <x:v>Cần dev/product xác nhận yêu cầu thông báo</x:v>
      </x:c>
      <x:c r="J5" s="30" t="str">
        <x:v>Open / unconfirmed</x:v>
      </x:c>
    </x:row>
    <x:row r="6" ht="110" customHeight="1">
      <x:c r="A6" s="30" t="str">
        <x:v>UX-02</x:v>
      </x:c>
      <x:c r="B6" s="30" t="str">
        <x:v>Medium (đề xuất)</x:v>
      </x:c>
      <x:c r="C6" s="30" t="str">
        <x:v>Candidate FE UX</x:v>
      </x:c>
      <x:c r="D6" s="30" t="str">
        <x:v>Ghép lỗi recovery 404 vào lỗi đăng ký</x:v>
      </x:c>
      <x:c r="E6" s="30" t="str">
        <x:v>Phone sai/Email trùng; backend từ chối signup</x:v>
      </x:c>
      <x:c r="F6" s="30" t="str">
        <x:v>FE nối Pending registration was not found vào lỗi gốc dù chưa có pending</x:v>
      </x:c>
      <x:c r="G6" s="30" t="str">
        <x:v>Chỉ hiển thị lỗi chính; recovery chỉ chạy/hiện khi đúng ngữ cảnh</x:v>
      </x:c>
      <x:c r="H6" s="30" t="str">
        <x:v>E-01</x:v>
      </x:c>
      <x:c r="I6" s="30" t="str">
        <x:v>Ưu tiên chỉnh error mapping/flow; tránh suy ra backend bug</x:v>
      </x:c>
      <x:c r="J6" s="30" t="str">
        <x:v>Open / unconfirmed</x:v>
      </x:c>
    </x:row>
    <x:row r="7" ht="110" customHeight="1">
      <x:c r="A7" s="30" t="str">
        <x:v>REQ-01</x:v>
      </x:c>
      <x:c r="B7" s="30" t="str">
        <x:v>Needs clarification</x:v>
      </x:c>
      <x:c r="C7" s="30" t="str">
        <x:v>Requirement question</x:v>
      </x:c>
      <x:c r="D7" s="30" t="str">
        <x:v>50 slots khai báo nhưng không có slot vật lý lúc provision</x:v>
      </x:c>
      <x:c r="E7" s="30" t="str">
        <x:v>Wizard chọn Total Slots=50; structure sau Approved: units=[], slots=[]</x:v>
      </x:c>
      <x:c r="F7" s="30" t="str">
        <x:v>Capacity operational = 0 cho đến khi Owner tạo thủ công</x:v>
      </x:c>
      <x:c r="G7" s="30" t="str">
        <x:v>Đối chiếu criteria: 50 có phải auto-create không?</x:v>
      </x:c>
      <x:c r="H7" s="30" t="str">
        <x:v>E-05/E-08</x:v>
      </x:c>
      <x:c r="I7" s="30" t="str">
        <x:v>UI có hướng dẫn Add Unit, Add Slot; chưa phải bug</x:v>
      </x:c>
      <x:c r="J7" s="30" t="str">
        <x:v>Pending spec review</x:v>
      </x:c>
    </x:row>
    <x:row r="8" ht="110" customHeight="1">
      <x:c r="A8" s="30" t="str">
        <x:v>ENV-01</x:v>
      </x:c>
      <x:c r="B8" s="30" t="str">
        <x:v>Resolved</x:v>
      </x:c>
      <x:c r="C8" s="30" t="str">
        <x:v>QA environment</x:v>
      </x:c>
      <x:c r="D8" s="30" t="str">
        <x:v>Reservation synchronization unavailable</x:v>
      </x:c>
      <x:c r="E8" s="30" t="str">
        <x:v>Parking structure 503 COMMITMENTS_UNAVAILABLE</x:v>
      </x:c>
      <x:c r="F8" s="30" t="str">
        <x:v>ReservationService vắng; DNS operations-db không khớp reservation-db; db user khác</x:v>
      </x:c>
      <x:c r="G8" s="30" t="str">
        <x:v>Khôi phục PostgreSQL/ReservationService; cấu hình runtime QA; retest API 200</x:v>
      </x:c>
      <x:c r="H8" s="30" t="str">
        <x:v>E-04/E-05</x:v>
      </x:c>
      <x:c r="I8" s="30" t="str">
        <x:v>Đã khắc phục; không gán mặc định lỗi Developer</x:v>
      </x:c>
      <x:c r="J8" s="30" t="str">
        <x:v>Resolved</x:v>
      </x:c>
    </x:row>
  </x:sheetData>
  <x:mergeCells>
    <x:mergeCell ref="A1:J1"/>
    <x:mergeCell ref="A2:J2"/>
  </x:mergeCells>
  <x:pageMargins left="0.7" right="0.7" top="0.75" bottom="0.75" header="0.3" footer="0.3"/>
  <x:tableParts count="1">
    <x:tablePart xmlns:r="http://schemas.openxmlformats.org/officeDocument/2006/relationships" r:id="R23b574e344c34a1f"/>
  </x:tableParts>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43" hidden="0" customWidth="1"/>
    <x:col min="3" max="3" width="70" hidden="0" customWidth="1"/>
    <x:col min="4" max="4" width="31" hidden="0" customWidth="1"/>
    <x:col min="5" max="5" width="48" hidden="0" customWidth="1"/>
  </x:cols>
  <x:sheetData>
    <x:row r="1" ht="34" customHeight="1">
      <x:c r="A1" s="4" t="str">
        <x:v>EVIDENCE REGISTER  |  FILES IN ZIP BACKUP</x:v>
      </x:c>
      <x:c r="B1" s="4"/>
      <x:c r="C1" s="4"/>
      <x:c r="D1" s="4"/>
      <x:c r="E1" s="4"/>
    </x:row>
    <x:row r="2" ht="30" customHeight="1">
      <x:c r="A2" s="45" t="str">
        <x:v>Ảnh gốc do tester cung cấp. Dùng Evidence ID tham chiếu Word và test case; không phân phối công khai nếu ảnh có thông tin cá nhân.</x:v>
      </x:c>
      <x:c r="B2" s="45"/>
      <x:c r="C2" s="45"/>
      <x:c r="D2" s="45"/>
      <x:c r="E2" s="45"/>
    </x:row>
    <x:row r="4" ht="32" customHeight="1">
      <x:c r="A4" s="23" t="str">
        <x:v>Evidence ID</x:v>
      </x:c>
      <x:c r="B4" s="23" t="str">
        <x:v>Tên tệp trong ZIP</x:v>
      </x:c>
      <x:c r="C4" s="23" t="str">
        <x:v>Nội dung chứng minh</x:v>
      </x:c>
      <x:c r="D4" s="23" t="str">
        <x:v>Test Cases / Issues</x:v>
      </x:c>
      <x:c r="E4" s="23" t="str">
        <x:v>Nguồn</x:v>
      </x:c>
    </x:row>
    <x:row r="5" ht="53" customHeight="1">
      <x:c r="A5" s="30" t="str">
        <x:v>E-01</x:v>
      </x:c>
      <x:c r="B5" s="30" t="str">
        <x:v>image(20261023-081517).png</x:v>
      </x:c>
      <x:c r="C5" s="30" t="str">
        <x:v>Phone validation HTTP 400; FE hiển thị regex + recovery message</x:v>
      </x:c>
      <x:c r="D5" s="30" t="str">
        <x:v>REG-04, UX-01, UX-02</x:v>
      </x:c>
      <x:c r="E5" s="30" t="str">
        <x:v>Ảnh tester chụp ngày 23/10/2026</x:v>
      </x:c>
    </x:row>
    <x:row r="6" ht="53" customHeight="1">
      <x:c r="A6" s="30" t="str">
        <x:v>E-02</x:v>
      </x:c>
      <x:c r="B6" s="30" t="str">
        <x:v>image(20261023-084056).png</x:v>
      </x:c>
      <x:c r="C6" s="30" t="str">
        <x:v>Business application submitted sau email verification</x:v>
      </x:c>
      <x:c r="D6" s="30" t="str">
        <x:v>REG-01, REG-06, OTP-03</x:v>
      </x:c>
      <x:c r="E6" s="30" t="str">
        <x:v>Ảnh tester chụp ngày 23/10/2026</x:v>
      </x:c>
    </x:row>
    <x:row r="7" ht="53" customHeight="1">
      <x:c r="A7" s="30" t="str">
        <x:v>E-03</x:v>
      </x:c>
      <x:c r="B7" s="30" t="str">
        <x:v>image(20261023-085503).png</x:v>
      </x:c>
      <x:c r="C7" s="30" t="str">
        <x:v>Owner Dashboard sau Approved và OTP login</x:v>
      </x:c>
      <x:c r="D7" s="30" t="str">
        <x:v>AUTH-03</x:v>
      </x:c>
      <x:c r="E7" s="30" t="str">
        <x:v>Ảnh tester chụp ngày 23/10/2026</x:v>
      </x:c>
    </x:row>
    <x:row r="8" ht="53" customHeight="1">
      <x:c r="A8" s="30" t="str">
        <x:v>E-04</x:v>
      </x:c>
      <x:c r="B8" s="30" t="str">
        <x:v>image(20261023-090128).png</x:v>
      </x:c>
      <x:c r="C8" s="30" t="str">
        <x:v>Structure API 503 COMMITMENTS_UNAVAILABLE</x:v>
      </x:c>
      <x:c r="D8" s="30" t="str">
        <x:v>PARK-02, ENV-01</x:v>
      </x:c>
      <x:c r="E8" s="30" t="str">
        <x:v>Ảnh tester chụp ngày 23/10/2026</x:v>
      </x:c>
    </x:row>
    <x:row r="9" ht="53" customHeight="1">
      <x:c r="A9" s="30" t="str">
        <x:v>E-05</x:v>
      </x:c>
      <x:c r="B9" s="30" t="str">
        <x:v>image(20261023-092453).png</x:v>
      </x:c>
      <x:c r="C9" s="30" t="str">
        <x:v>Parking API structure retest HTTP 200; initial capacity 0</x:v>
      </x:c>
      <x:c r="D9" s="30" t="str">
        <x:v>PARK-01, PARK-03, REQ-01</x:v>
      </x:c>
      <x:c r="E9" s="30" t="str">
        <x:v>Ảnh tester chụp ngày 23/10/2026</x:v>
      </x:c>
    </x:row>
    <x:row r="10" ht="53" customHeight="1">
      <x:c r="A10" s="30" t="str">
        <x:v>E-06</x:v>
      </x:c>
      <x:c r="B10" s="30" t="str">
        <x:v>image(20261023-093056).png</x:v>
      </x:c>
      <x:c r="C10" s="30" t="str">
        <x:v>Unit created trên Parking Structure</x:v>
      </x:c>
      <x:c r="D10" s="30" t="str">
        <x:v>PARK-04</x:v>
      </x:c>
      <x:c r="E10" s="30" t="str">
        <x:v>Ảnh tester chụp ngày 23/10/2026</x:v>
      </x:c>
    </x:row>
    <x:row r="11" ht="53" customHeight="1">
      <x:c r="A11" s="30" t="str">
        <x:v>E-07</x:v>
      </x:c>
      <x:c r="B11" s="30" t="str">
        <x:v>image(20261023-093251).png</x:v>
      </x:c>
      <x:c r="C11" s="30" t="str">
        <x:v>Slot created, physical/available tăng lên 1</x:v>
      </x:c>
      <x:c r="D11" s="30" t="str">
        <x:v>PARK-05, PARK-06</x:v>
      </x:c>
      <x:c r="E11" s="30" t="str">
        <x:v>Ảnh tester chụp ngày 23/10/2026</x:v>
      </x:c>
    </x:row>
    <x:row r="12" ht="53" customHeight="1">
      <x:c r="A12" s="30" t="str">
        <x:v>E-08</x:v>
      </x:c>
      <x:c r="B12" s="30" t="str">
        <x:v>image(20261023-093531).png</x:v>
      </x:c>
      <x:c r="C12" s="30" t="str">
        <x:v>Sau reload slot QA-A-001 vẫn tồn tại</x:v>
      </x:c>
      <x:c r="D12" s="30" t="str">
        <x:v>PARK-07, REQ-01</x:v>
      </x:c>
      <x:c r="E12" s="30" t="str">
        <x:v>Ảnh tester chụp ngày 23/10/2026</x:v>
      </x:c>
    </x:row>
    <x:row r="13" ht="53" customHeight="1">
      <x:c r="A13" s="30" t="str">
        <x:v>E-09</x:v>
      </x:c>
      <x:c r="B13" s="30" t="str">
        <x:v>image(20261023-093800).png</x:v>
      </x:c>
      <x:c r="C13" s="30" t="str">
        <x:v>Duplicate Slot POST HTTP 409, DUPLICATE_IDENTIFIER</x:v>
      </x:c>
      <x:c r="D13" s="30" t="str">
        <x:v>PARK-08</x:v>
      </x:c>
      <x:c r="E13" s="30" t="str">
        <x:v>Ảnh tester chụp ngày 23/10/2026</x:v>
      </x:c>
    </x:row>
    <x:row r="14" ht="53" customHeight="1">
      <x:c r="A14" s="30" t="str">
        <x:v>E-10</x:v>
      </x:c>
      <x:c r="B14" s="30" t="str">
        <x:v>image(20261023-094152).png</x:v>
      </x:c>
      <x:c r="C14" s="30" t="str">
        <x:v>Logout API HTTP 200 + success:true</x:v>
      </x:c>
      <x:c r="D14" s="30" t="str">
        <x:v>LOG-01, LOG-02</x:v>
      </x:c>
      <x:c r="E14" s="30" t="str">
        <x:v>Ảnh tester chụp ngày 23/10/2026</x:v>
      </x:c>
    </x:row>
    <x:row r="15" ht="53" customHeight="1">
      <x:c r="A15" s="30" t="str">
        <x:v>E-11</x:v>
      </x:c>
      <x:c r="B15" s="30" t="str">
        <x:v>image(20261023-094912).png</x:v>
      </x:c>
      <x:c r="C15" s="30" t="str">
        <x:v>GET Structure không xác thực bị HTTP 401</x:v>
      </x:c>
      <x:c r="D15" s="30" t="str">
        <x:v>SEC-01</x:v>
      </x:c>
      <x:c r="E15" s="30" t="str">
        <x:v>Ảnh tester chụp ngày 23/10/2026</x:v>
      </x:c>
    </x:row>
  </x:sheetData>
  <x:mergeCells>
    <x:mergeCell ref="A1:E1"/>
    <x:mergeCell ref="A2:E2"/>
  </x:mergeCells>
  <x:pageMargins left="0.7" right="0.7" top="0.75" bottom="0.75" header="0.3" footer="0.3"/>
  <x:tableParts count="1">
    <x:tablePart xmlns:r="http://schemas.openxmlformats.org/officeDocument/2006/relationships" r:id="Rb7a2ca63a19a47c4"/>
  </x:tableParts>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4" hidden="0" customWidth="1"/>
    <x:col min="2" max="2" width="75" hidden="0" customWidth="1"/>
    <x:col min="3" max="3" width="76" hidden="0" customWidth="1"/>
  </x:cols>
  <x:sheetData>
    <x:row r="1" ht="34" customHeight="1">
      <x:c r="A1" s="4" t="str">
        <x:v>QA RUNTIME / ENVIRONMENT</x:v>
      </x:c>
      <x:c r="B1" s="4"/>
      <x:c r="C1" s="4"/>
    </x:row>
    <x:row r="2" ht="30" customHeight="1">
      <x:c r="A2" s="41" t="str">
        <x:v>Thông tin chụp theo phiên QA, không khẳng định trạng thái máy ở thời điểm mở báo cáo. Không đưa mật khẩu/token vào hồ sơ.</x:v>
      </x:c>
      <x:c r="B2" s="41"/>
      <x:c r="C2" s="41"/>
    </x:row>
    <x:row r="4" ht="32" customHeight="1">
      <x:c r="A4" s="23" t="str">
        <x:v>Thành phần</x:v>
      </x:c>
      <x:c r="B4" s="23" t="str">
        <x:v>Giá trị quan sát</x:v>
      </x:c>
      <x:c r="C4" s="23" t="str">
        <x:v>Ghi chú</x:v>
      </x:c>
    </x:row>
    <x:row r="5" ht="40" customHeight="1">
      <x:c r="A5" s="30" t="str">
        <x:v>Repository (local)</x:v>
      </x:c>
      <x:c r="B5" s="30" t="str">
        <x:v>C:\HOC\Mock-Project-Smart-Parking</x:v>
      </x:c>
      <x:c r="C5" s="30" t="str">
        <x:v>Thông tin từ PowerShell do tester cung cấp</x:v>
      </x:c>
    </x:row>
    <x:row r="6" ht="40" customHeight="1">
      <x:c r="A6" s="30" t="str">
        <x:v>Branch/commit</x:v>
      </x:c>
      <x:c r="B6" s="30" t="str">
        <x:v>Fix2FA / a0c8daad2047ce8e2e629c03db4c99d5b0d51e77</x:v>
      </x:c>
      <x:c r="C6" s="30" t="str">
        <x:v>Working tree clean; không đối chiếu commit remote hiện tại</x:v>
      </x:c>
    </x:row>
    <x:row r="7" ht="40" customHeight="1">
      <x:c r="A7" s="30" t="str">
        <x:v>QA Compose project</x:v>
      </x:c>
      <x:c r="B7" s="30" t="str">
        <x:v>fix2fa-qa</x:v>
      </x:c>
      <x:c r="C7" s="30" t="str">
        <x:v>Runtime tùy chỉnh QA; không phải chứng minh canonical compose</x:v>
      </x:c>
    </x:row>
    <x:row r="8" ht="40" customHeight="1">
      <x:c r="A8" s="30" t="str">
        <x:v>Frontend</x:v>
      </x:c>
      <x:c r="B8" s="30" t="str">
        <x:v>127.0.0.1:5173</x:v>
      </x:c>
      <x:c r="C8" s="30" t="str">
        <x:v>Cốc Cốc ẩn danh, React UI</x:v>
      </x:c>
    </x:row>
    <x:row r="9" ht="40" customHeight="1">
      <x:c r="A9" s="30" t="str">
        <x:v>UserService</x:v>
      </x:c>
      <x:c r="B9" s="30" t="str">
        <x:v>127.0.0.1:5035</x:v>
      </x:c>
      <x:c r="C9" s="30" t="str">
        <x:v>healthy sau cấu hình QA</x:v>
      </x:c>
    </x:row>
    <x:row r="10" ht="40" customHeight="1">
      <x:c r="A10" s="30" t="str">
        <x:v>ParkingService</x:v>
      </x:c>
      <x:c r="B10" s="30" t="str">
        <x:v>127.0.0.1:5045</x:v>
      </x:c>
      <x:c r="C10" s="30" t="str">
        <x:v>healthy; structure 503 rồi 200 sau recovery</x:v>
      </x:c>
    </x:row>
    <x:row r="11" ht="40" customHeight="1">
      <x:c r="A11" s="30" t="str">
        <x:v>ReservationService</x:v>
      </x:c>
      <x:c r="B11" s="30" t="str">
        <x:v>127.0.0.1:5055</x:v>
      </x:c>
      <x:c r="C11" s="30" t="str">
        <x:v>image smartpark/reservation-service:fix2fa-qa; healthy sau fix runtime</x:v>
      </x:c>
    </x:row>
    <x:row r="12" ht="40" customHeight="1">
      <x:c r="A12" s="30" t="str">
        <x:v>User DB</x:v>
      </x:c>
      <x:c r="B12" s="30" t="str">
        <x:v>smartpark-schema-user-db-1</x:v>
      </x:c>
      <x:c r="C12" s="30" t="str">
        <x:v>Đã chạy trong Docker network</x:v>
      </x:c>
    </x:row>
    <x:row r="13" ht="40" customHeight="1">
      <x:c r="A13" s="30" t="str">
        <x:v>Facility DB</x:v>
      </x:c>
      <x:c r="B13" s="30" t="str">
        <x:v>facility-db-1</x:v>
      </x:c>
      <x:c r="C13" s="30" t="str">
        <x:v>healthy; Docker network smartpark-schema_default</x:v>
      </x:c>
    </x:row>
    <x:row r="14" ht="40" customHeight="1">
      <x:c r="A14" s="30" t="str">
        <x:v>Operation/Reservation DB</x:v>
      </x:c>
      <x:c r="B14" s="30" t="str">
        <x:v>operation-db-1</x:v>
      </x:c>
      <x:c r="C14" s="30" t="str">
        <x:v>healthy; reservation-db alias; giữ volume có sẵn</x:v>
      </x:c>
    </x:row>
    <x:row r="15" ht="40" customHeight="1">
      <x:c r="A15" s="30" t="str">
        <x:v>Docker network</x:v>
      </x:c>
      <x:c r="B15" s="30" t="str">
        <x:v>smartpark-schema_default</x:v>
      </x:c>
      <x:c r="C15" s="30" t="str">
        <x:v>Alias reservation-service kết nối thành công</x:v>
      </x:c>
    </x:row>
    <x:row r="16" ht="40" customHeight="1">
      <x:c r="A16" s="30" t="str">
        <x:v>Trace privacy</x:v>
      </x:c>
      <x:c r="B16" s="30" t="str">
        <x:v>Không lưu OTP/token/mật khẩu trong báo cáo</x:v>
      </x:c>
      <x:c r="C16" s="30" t="str">
        <x:v>Trích JSON chỉ giữ lỗi/status, không ghi secrets</x:v>
      </x:c>
    </x:row>
  </x:sheetData>
  <x:mergeCells>
    <x:mergeCell ref="A1:C1"/>
    <x:mergeCell ref="A2:C2"/>
  </x:mergeCells>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8" hidden="0" customWidth="1"/>
    <x:col min="2" max="2" width="32" hidden="0" customWidth="1"/>
    <x:col min="3" max="3" width="22" hidden="0" customWidth="1"/>
    <x:col min="4" max="4" width="25" hidden="0" customWidth="1"/>
    <x:col min="5" max="5" width="22"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34" customHeight="1">
      <x:c r="A1" s="4" t="str">
        <x:v>SMART PARKING  |  QA HANDOFF  |  FIX2FA</x:v>
      </x:c>
      <x:c r="B1" s="4"/>
      <x:c r="C1" s="4"/>
      <x:c r="D1" s="4"/>
      <x:c r="E1" s="4"/>
      <x:c r="F1" s="4"/>
      <x:c r="G1" s="4"/>
      <x:c r="H1" s="4"/>
      <x:c r="I1" s="4"/>
      <x:c r="J1" s="4"/>
      <x:c r="K1" s="4"/>
      <x:c r="L1" s="4"/>
    </x:row>
    <x:row r="2" ht="30" customHeight="1">
      <x:c r="A2" s="48" t="str">
        <x:v>Ngày kiểm thử: 23/10/2026    •    Business Registration / Owner UAT    •    Phạm vi cơ bản, chưa đối chiếu đầy đủ Jira/AC</x:v>
      </x:c>
      <x:c r="B2" s="48"/>
      <x:c r="C2" s="48"/>
      <x:c r="D2" s="48"/>
      <x:c r="E2" s="48"/>
      <x:c r="F2" s="48"/>
      <x:c r="G2" s="48"/>
      <x:c r="H2" s="48"/>
      <x:c r="I2" s="48"/>
      <x:c r="J2" s="48"/>
      <x:c r="K2" s="48"/>
      <x:c r="L2" s="48"/>
    </x:row>
    <x:row r="4" ht="27" customHeight="1">
      <x:c r="A4" s="51" t="str">
        <x:v>PASS</x:v>
      </x:c>
      <x:c r="B4" s="51" t="str">
        <x:v>BLOCKED (lịch sử)</x:v>
      </x:c>
      <x:c r="C4" s="51" t="str">
        <x:v>NOT RUN</x:v>
      </x:c>
      <x:c r="D4" s="51" t="str">
        <x:v>REVIEW</x:v>
      </x:c>
      <x:c r="E4" s="51" t="str">
        <x:v>TỔNG CASE</x:v>
      </x:c>
    </x:row>
    <x:row r="5" ht="50" customHeight="1">
      <x:c r="A5" s="56" t="n">
        <x:f>COUNTIF('Test Cases'!$I$6:$I$37,"PASS")</x:f>
        <x:v>25</x:v>
      </x:c>
      <x:c r="B5" s="56" t="n">
        <x:f>COUNTIF('Test Cases'!$I$6:$I$37,"BLOCKED")</x:f>
        <x:v>1</x:v>
      </x:c>
      <x:c r="C5" s="56" t="n">
        <x:f>COUNTIF('Test Cases'!$I$6:$I$37,"NOT RUN")</x:f>
        <x:v>5</x:v>
      </x:c>
      <x:c r="D5" s="56" t="n">
        <x:f>COUNTIF('Test Cases'!$I$6:$I$37,"REVIEW")</x:f>
        <x:v>1</x:v>
      </x:c>
      <x:c r="E5" s="56" t="n">
        <x:f>COUNTA('Test Cases'!$A$6:$A$37)</x:f>
        <x:v>32</x:v>
      </x:c>
    </x:row>
    <x:row r="7" ht="26" customHeight="1">
      <x:c r="A7" s="50" t="str">
        <x:v>KẾT LUẬN CÓ ĐIỀU KIỆN</x:v>
      </x:c>
      <x:c r="B7" s="50"/>
      <x:c r="C7" s="50"/>
      <x:c r="D7" s="50"/>
      <x:c r="E7" s="50"/>
      <x:c r="F7" s="50"/>
      <x:c r="G7" s="50"/>
      <x:c r="H7" s="50"/>
      <x:c r="I7" s="50"/>
      <x:c r="J7" s="50"/>
      <x:c r="K7" s="50"/>
      <x:c r="L7" s="50"/>
    </x:row>
    <x:row r="8" ht="28" customHeight="1">
      <x:c r="A8" s="62" t="str">
        <x:v>Các luồng đã chạy đạt kỳ vọng trong QA runtime sau khi khắc phục dependency ReservationService. Hai candidate FE UX và một điểm đối chiếu 50 slots cần làm rõ. Không xác nhận QA 100% hoặc revoke token cũ.</x:v>
      </x:c>
      <x:c r="B8" s="62"/>
      <x:c r="C8" s="62"/>
      <x:c r="D8" s="62"/>
      <x:c r="E8" s="62"/>
      <x:c r="F8" s="62"/>
      <x:c r="G8" s="62"/>
      <x:c r="H8" s="62"/>
      <x:c r="I8" s="62"/>
      <x:c r="J8" s="62"/>
      <x:c r="K8" s="62"/>
      <x:c r="L8" s="62"/>
    </x:row>
    <x:row r="9" ht="28" customHeight="1">
      <x:c r="A9" s="62"/>
      <x:c r="B9" s="62"/>
      <x:c r="C9" s="62"/>
      <x:c r="D9" s="62"/>
      <x:c r="E9" s="62"/>
      <x:c r="F9" s="62"/>
      <x:c r="G9" s="62"/>
      <x:c r="H9" s="62"/>
      <x:c r="I9" s="62"/>
      <x:c r="J9" s="62"/>
      <x:c r="K9" s="62"/>
      <x:c r="L9" s="62"/>
    </x:row>
    <x:row r="11" ht="32" customHeight="1">
      <x:c r="A11" s="23" t="str">
        <x:v>Chủ đề</x:v>
      </x:c>
      <x:c r="B11" s="23" t="str">
        <x:v>Số lượng / phân loại</x:v>
      </x:c>
      <x:c r="C11" s="23" t="str">
        <x:v>Tình trạng</x:v>
      </x:c>
      <x:c r="D11" s="23" t="str">
        <x:v>Đầu mối</x:v>
      </x:c>
      <x:c r="E11" s="23" t="str">
        <x:v>Tham chiếu</x:v>
      </x:c>
    </x:row>
    <x:row r="12" ht="41" customHeight="1">
      <x:c r="A12" s="30" t="str">
        <x:v>Backend/FE core E2E</x:v>
      </x:c>
      <x:c r="B12" s="30" t="str">
        <x:v>Signup → OTP → Approve → Owner</x:v>
      </x:c>
      <x:c r="C12" s="30" t="str">
        <x:v>PASS</x:v>
      </x:c>
      <x:c r="D12" s="30" t="str">
        <x:v>Tester</x:v>
      </x:c>
      <x:c r="E12" s="30" t="str">
        <x:v>Test Cases</x:v>
      </x:c>
    </x:row>
    <x:row r="13" ht="41" customHeight="1">
      <x:c r="A13" s="30" t="str">
        <x:v>Parking structure</x:v>
      </x:c>
      <x:c r="B13" s="30" t="str">
        <x:v>Add Unit/Slot → cap 1 → persist</x:v>
      </x:c>
      <x:c r="C13" s="30" t="str">
        <x:v>PASS</x:v>
      </x:c>
      <x:c r="D13" s="30" t="str">
        <x:v>Tester</x:v>
      </x:c>
      <x:c r="E13" s="30" t="str">
        <x:v>PARK-04…08</x:v>
      </x:c>
    </x:row>
    <x:row r="14" ht="41" customHeight="1">
      <x:c r="A14" s="30" t="str">
        <x:v>Chống duplicate</x:v>
      </x:c>
      <x:c r="B14" s="30" t="str">
        <x:v>POST slots → 409 DUPLICATE_IDENTIFIER</x:v>
      </x:c>
      <x:c r="C14" s="30" t="str">
        <x:v>PASS</x:v>
      </x:c>
      <x:c r="D14" s="30" t="str">
        <x:v>Tester</x:v>
      </x:c>
      <x:c r="E14" s="30" t="str">
        <x:v>PARK-08</x:v>
      </x:c>
    </x:row>
    <x:row r="15" ht="41" customHeight="1">
      <x:c r="A15" s="30" t="str">
        <x:v>Quyền không xác thực</x:v>
      </x:c>
      <x:c r="B15" s="30" t="str">
        <x:v>GET structure → 401 UNAUTHENTICATED</x:v>
      </x:c>
      <x:c r="C15" s="30" t="str">
        <x:v>PASS</x:v>
      </x:c>
      <x:c r="D15" s="30" t="str">
        <x:v>Tester</x:v>
      </x:c>
      <x:c r="E15" s="30" t="str">
        <x:v>SEC-01</x:v>
      </x:c>
    </x:row>
    <x:row r="16" ht="41" customHeight="1">
      <x:c r="A16" s="30" t="str">
        <x:v>Backend session revocation</x:v>
      </x:c>
      <x:c r="B16" s="30" t="str">
        <x:v>Token cũ sau Logout</x:v>
      </x:c>
      <x:c r="C16" s="30" t="str">
        <x:v>NOT RUN</x:v>
      </x:c>
      <x:c r="D16" s="30" t="str">
        <x:v>Tester/Dev</x:v>
      </x:c>
      <x:c r="E16" s="30" t="str">
        <x:v>SEC-02</x:v>
      </x:c>
    </x:row>
    <x:row r="17" ht="41" customHeight="1">
      <x:c r="A17" s="30" t="str">
        <x:v>Candidate FE UX</x:v>
      </x:c>
      <x:c r="B17" s="30" t="str">
        <x:v>02 vấn đề</x:v>
      </x:c>
      <x:c r="C17" s="30" t="str">
        <x:v>NEEDS TRIAGE</x:v>
      </x:c>
      <x:c r="D17" s="30" t="str">
        <x:v>Dev/PM</x:v>
      </x:c>
      <x:c r="E17" s="30" t="str">
        <x:v>UX-01, UX-02</x:v>
      </x:c>
    </x:row>
    <x:row r="18" ht="41" customHeight="1">
      <x:c r="A18" s="30" t="str">
        <x:v>Slot declaration</x:v>
      </x:c>
      <x:c r="B18" s="30" t="str">
        <x:v>50 khai báo; 0 vật lý lúc đầu</x:v>
      </x:c>
      <x:c r="C18" s="30" t="str">
        <x:v>NEEDS SPEC</x:v>
      </x:c>
      <x:c r="D18" s="30" t="str">
        <x:v>PO/Dev</x:v>
      </x:c>
      <x:c r="E18" s="30" t="str">
        <x:v>REQ-01</x:v>
      </x:c>
    </x:row>
    <x:row r="19" ht="41" customHeight="1">
      <x:c r="A19" s="30" t="str">
        <x:v>Runtime dependency</x:v>
      </x:c>
      <x:c r="B19" s="30" t="str">
        <x:v>503 → khôi phục → 200</x:v>
      </x:c>
      <x:c r="C19" s="30" t="str">
        <x:v>RESOLVED</x:v>
      </x:c>
      <x:c r="D19" s="30" t="str">
        <x:v>QA env</x:v>
      </x:c>
      <x:c r="E19" s="30" t="str">
        <x:v>ENV-01</x:v>
      </x:c>
    </x:row>
    <x:row r="21" ht="24" customHeight="1">
      <x:c r="A21" s="50" t="str">
        <x:v>HƯỚNG DẪN ĐỌC BÁO CÁO</x:v>
      </x:c>
      <x:c r="B21" s="50"/>
      <x:c r="C21" s="50"/>
      <x:c r="D21" s="50"/>
      <x:c r="E21" s="50"/>
      <x:c r="F21" s="50"/>
      <x:c r="G21" s="50"/>
      <x:c r="H21" s="50"/>
      <x:c r="I21" s="50"/>
      <x:c r="J21" s="50"/>
      <x:c r="K21" s="50"/>
      <x:c r="L21" s="50"/>
    </x:row>
    <x:row r="22" ht="28" customHeight="1">
      <x:c r="A22" s="67" t="str">
        <x:v>• Test Cases: 32 bản ghi có trạng thái minh bạch, được đánh số độc lập; chỉ PASS cho case đã thực thi.</x:v>
      </x:c>
      <x:c r="B22" s="67"/>
      <x:c r="C22" s="67"/>
      <x:c r="D22" s="67"/>
      <x:c r="E22" s="67"/>
      <x:c r="F22" s="67"/>
      <x:c r="G22" s="67"/>
      <x:c r="H22" s="67"/>
      <x:c r="I22" s="67"/>
      <x:c r="J22" s="67"/>
      <x:c r="K22" s="67"/>
      <x:c r="L22" s="67"/>
    </x:row>
    <x:row r="23" ht="28" customHeight="1">
      <x:c r="A23" s="67" t="str">
        <x:v>• Issues: Candidate UX, clarification và resolved environment; không gộp thành FAIL chưa xác nhận.</x:v>
      </x:c>
      <x:c r="B23" s="67"/>
      <x:c r="C23" s="67"/>
      <x:c r="D23" s="67"/>
      <x:c r="E23" s="67"/>
      <x:c r="F23" s="67"/>
      <x:c r="G23" s="67"/>
      <x:c r="H23" s="67"/>
      <x:c r="I23" s="67"/>
      <x:c r="J23" s="67"/>
      <x:c r="K23" s="67"/>
      <x:c r="L23" s="67"/>
    </x:row>
    <x:row r="24" ht="28" customHeight="1">
      <x:c r="A24" s="67" t="str">
        <x:v>• Evidence: tên ảnh chính xác trong gói ZIP; có thể mở đối chiếu ngoài Excel.</x:v>
      </x:c>
      <x:c r="B24" s="67"/>
      <x:c r="C24" s="67"/>
      <x:c r="D24" s="67"/>
      <x:c r="E24" s="67"/>
      <x:c r="F24" s="67"/>
      <x:c r="G24" s="67"/>
      <x:c r="H24" s="67"/>
      <x:c r="I24" s="67"/>
      <x:c r="J24" s="67"/>
      <x:c r="K24" s="67"/>
      <x:c r="L24" s="67"/>
    </x:row>
    <x:row r="25" ht="28" customHeight="1">
      <x:c r="A25" s="67" t="str">
        <x:v>• Environment: ghi runtime QA ở thời điểm test, không phải hướng dẫn tái triển khai.</x:v>
      </x:c>
      <x:c r="B25" s="67"/>
      <x:c r="C25" s="67"/>
      <x:c r="D25" s="67"/>
      <x:c r="E25" s="67"/>
      <x:c r="F25" s="67"/>
      <x:c r="G25" s="67"/>
      <x:c r="H25" s="67"/>
      <x:c r="I25" s="67"/>
      <x:c r="J25" s="67"/>
      <x:c r="K25" s="67"/>
      <x:c r="L25" s="67"/>
    </x:row>
  </x:sheetData>
  <x:mergeCells>
    <x:mergeCell ref="A1:L1"/>
    <x:mergeCell ref="A2:L2"/>
    <x:mergeCell ref="A7:L7"/>
    <x:mergeCell ref="A8:L9"/>
    <x:mergeCell ref="A21:L21"/>
    <x:mergeCell ref="A22:L22"/>
    <x:mergeCell ref="A23:L23"/>
    <x:mergeCell ref="A24:L24"/>
    <x:mergeCell ref="A25:L25"/>
  </x:mergeCells>
  <x:pageMargins left="0.7" right="0.7" top="0.75" bottom="0.75" header="0.3" footer="0.3"/>
</x:worksheet>
</file>