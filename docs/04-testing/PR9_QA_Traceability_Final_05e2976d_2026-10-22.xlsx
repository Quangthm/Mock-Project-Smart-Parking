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11da8b3325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f9c7b29fb224825"/>
    <x:sheet xmlns:r="http://schemas.openxmlformats.org/officeDocument/2006/relationships" name="TEST_CASES" sheetId="2" r:id="R7f1b559e71d342fb"/>
    <x:sheet xmlns:r="http://schemas.openxmlformats.org/officeDocument/2006/relationships" name="OPEN_ITEMS" sheetId="3" r:id="Rb855b5223ba84f56"/>
    <x:sheet xmlns:r="http://schemas.openxmlformats.org/officeDocument/2006/relationships" name="EVIDENCE" sheetId="4" r:id="R2d6d18ada8ff49d2"/>
    <x:sheet xmlns:r="http://schemas.openxmlformats.org/officeDocument/2006/relationships" name="HISTORY" sheetId="5" r:id="Rda3e689af70d4b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7">
    <x:font>
      <x:sz val="11"/>
      <x:name val="Carlito"/>
    </x:font>
    <x:font>
      <x:b/>
      <x:sz val="19"/>
      <x:color rgb="FFFFFFFF"/>
      <x:name val="Carlito"/>
    </x:font>
    <x:font>
      <x:sz val="10"/>
      <x:color rgb="FF087E82"/>
      <x:name val="Carlito"/>
    </x:font>
    <x:font>
      <x:b/>
      <x:sz val="13"/>
      <x:color rgb="FF152D48"/>
      <x:name val="Carlito"/>
    </x:font>
    <x:font>
      <x:b/>
      <x:sz val="11"/>
      <x:color rgb="FFFFFFFF"/>
      <x:name val="Carlito"/>
    </x:font>
    <x:font>
      <x:sz val="10"/>
      <x:name val="Carlito"/>
    </x:font>
    <x:font>
      <x:b/>
      <x:sz val="10"/>
      <x:color rgb="FF146444"/>
      <x:name val="Carlito"/>
    </x:font>
    <x:font>
      <x:b/>
      <x:sz val="10"/>
      <x:color rgb="FFA22E34"/>
      <x:name val="Carlito"/>
    </x:font>
    <x:font>
      <x:b/>
      <x:sz val="12"/>
      <x:color rgb="FF152D48"/>
      <x:name val="Carlito"/>
    </x:font>
    <x:font>
      <x:sz val="10"/>
      <x:color rgb="FF213447"/>
      <x:name val="Carlito"/>
    </x:font>
    <x:font>
      <x:sz val="10"/>
      <x:color rgb="FF2663BC"/>
      <x:name val="Carlito"/>
    </x:font>
    <x:font>
      <x:b/>
      <x:sz val="10"/>
      <x:color rgb="FFFFFFFF"/>
      <x:name val="Carlito"/>
    </x:font>
    <x:font>
      <x:b/>
      <x:sz val="10"/>
      <x:color rgb="FF213447"/>
      <x:name val="Carlito"/>
    </x:font>
    <x:font>
      <x:b/>
      <x:sz val="10"/>
      <x:color rgb="FF087E82"/>
      <x:name val="Carlito"/>
    </x:font>
    <x:font>
      <x:b/>
      <x:sz val="10"/>
      <x:color rgb="FF9D590B"/>
      <x:name val="Carlito"/>
    </x:font>
    <x:font>
      <x:i/>
      <x:sz val="10"/>
      <x:color rgb="FF5A7087"/>
      <x:name val="Carlito"/>
    </x:font>
    <x:font>
      <x:sz val="10"/>
      <x:color rgb="FF152D48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52D48"/>
      </x:patternFill>
    </x:fill>
    <x:fill>
      <x:patternFill patternType="solid">
        <x:fgColor rgb="FFE9F4F4"/>
      </x:patternFill>
    </x:fill>
    <x:fill>
      <x:patternFill patternType="solid">
        <x:fgColor rgb="FF087E82"/>
      </x:patternFill>
    </x:fill>
    <x:fill>
      <x:patternFill patternType="solid">
        <x:fgColor rgb="FFDDF7EA"/>
      </x:patternFill>
    </x:fill>
    <x:fill>
      <x:patternFill patternType="solid">
        <x:fgColor rgb="FFFFE8E8"/>
      </x:patternFill>
    </x:fill>
    <x:fill>
      <x:patternFill patternType="solid">
        <x:fgColor rgb="FFDDECEB"/>
      </x:patternFill>
    </x:fill>
    <x:fill>
      <x:patternFill patternType="solid">
        <x:fgColor rgb="FFEEF3F8"/>
      </x:patternFill>
    </x:fill>
    <x:fill>
      <x:patternFill patternType="solid">
        <x:fgColor rgb="FFE8F6FA"/>
      </x:patternFill>
    </x:fill>
    <x:fill>
      <x:patternFill patternType="solid">
        <x:fgColor rgb="FFFFF0D4"/>
      </x:patternFill>
    </x:fill>
    <x:fill>
      <x:patternFill patternType="solid">
        <x:fgColor rgb="FFF2F2F2"/>
      </x:patternFill>
    </x:fill>
    <x:fill>
      <x:patternFill patternType="solid">
        <x:fgColor rgb="FFE8F4EF"/>
      </x:patternFill>
    </x:fill>
    <x:fill>
      <x:patternFill patternType="solid">
        <x:fgColor rgb="FFF0F5F8"/>
      </x:patternFill>
    </x:fill>
  </x:fills>
  <x:borders count="2">
    <x:border/>
    <x:border/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1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0" fillId="7" borderId="1" xfId="0" applyNumberFormat="1" applyFont="1" applyFill="1" applyBorder="1"/>
    <x:xf numFmtId="0" fontId="8" fillId="7" borderId="1" xfId="0" applyNumberFormat="1" applyFont="1" applyFill="1" applyBorder="1"/>
    <x:xf numFmtId="0" fontId="9" fillId="0" borderId="0" xfId="0" applyNumberFormat="1" applyFont="1" applyFill="1" applyBorder="1"/>
    <x:xf numFmtId="0" fontId="9" fillId="0" borderId="0" xfId="0" applyNumberFormat="1" applyFont="1" applyFill="1" applyBorder="1" applyAlignment="1">
      <x:alignment wrapText="1"/>
    </x:xf>
    <x:xf numFmtId="0" fontId="9" fillId="0" borderId="1" xfId="0" applyNumberFormat="1" applyFont="1" applyFill="1" applyBorder="1"/>
    <x:xf numFmtId="0" fontId="9" fillId="0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0" fillId="8" borderId="1" xfId="0" applyNumberFormat="1" applyFont="1" applyFill="1" applyBorder="1"/>
    <x:xf numFmtId="0" fontId="10" fillId="8" borderId="1" xfId="0" applyNumberFormat="1" applyFont="1" applyFill="1" applyBorder="1"/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2" fillId="0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0" xfId="0" applyNumberFormat="1" applyFont="1" applyFill="1" applyBorder="1" applyAlignment="1">
      <x:alignment horizontal="center" vertical="center" wrapText="1"/>
    </x:xf>
    <x:xf numFmtId="0" fontId="9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center" wrapText="1"/>
    </x:xf>
    <x:xf numFmtId="0" fontId="9" fillId="9" borderId="0" xfId="0" applyNumberFormat="1" applyFont="1" applyFill="1" applyBorder="1" applyAlignment="1">
      <x:alignment vertical="top" wrapText="1"/>
    </x:xf>
    <x:xf numFmtId="0" fontId="13" fillId="9" borderId="0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13" fillId="9" borderId="1" xfId="0" applyNumberFormat="1" applyFont="1" applyFill="1" applyBorder="1" applyAlignment="1">
      <x:alignment vertical="top" wrapText="1"/>
    </x:xf>
    <x:xf numFmtId="0" fontId="9" fillId="10" borderId="0" xfId="0" applyNumberFormat="1" applyFont="1" applyFill="1" applyBorder="1" applyAlignment="1">
      <x:alignment vertical="top" wrapText="1"/>
    </x:xf>
    <x:xf numFmtId="0" fontId="14" fillId="10" borderId="0" xfId="0" applyNumberFormat="1" applyFont="1" applyFill="1" applyBorder="1" applyAlignment="1">
      <x:alignment vertical="top" wrapText="1"/>
    </x:xf>
    <x:xf numFmtId="0" fontId="14" fillId="10" borderId="0" xfId="0" applyNumberFormat="1" applyFont="1" applyFill="1" applyBorder="1" applyAlignment="1">
      <x:alignment horizontal="center" vertical="top" wrapText="1"/>
    </x:xf>
    <x:xf numFmtId="0" fontId="14" fillId="10" borderId="0" xfId="0" applyNumberFormat="1" applyFont="1" applyFill="1" applyBorder="1" applyAlignment="1">
      <x:alignment horizontal="center" vertical="center" wrapText="1"/>
    </x:xf>
    <x:xf numFmtId="0" fontId="9" fillId="10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vertical="top" wrapText="1"/>
    </x:xf>
    <x:xf numFmtId="0" fontId="14" fillId="10" borderId="1" xfId="0" applyNumberFormat="1" applyFont="1" applyFill="1" applyBorder="1" applyAlignment="1">
      <x:alignment horizontal="center" vertical="top" wrapText="1"/>
    </x:xf>
    <x:xf numFmtId="0" fontId="14" fillId="10" borderId="1" xfId="0" applyNumberFormat="1" applyFont="1" applyFill="1" applyBorder="1" applyAlignment="1">
      <x:alignment horizontal="center" vertical="center" wrapText="1"/>
    </x:xf>
    <x:xf numFmtId="0" fontId="9" fillId="11" borderId="0" xfId="0" applyNumberFormat="1" applyFont="1" applyFill="1" applyBorder="1" applyAlignment="1">
      <x:alignment vertical="top" wrapText="1"/>
    </x:xf>
    <x:xf numFmtId="0" fontId="15" fillId="11" borderId="0" xfId="0" applyNumberFormat="1" applyFont="1" applyFill="1" applyBorder="1" applyAlignment="1">
      <x:alignment vertical="top" wrapText="1"/>
    </x:xf>
    <x:xf numFmtId="0" fontId="9" fillId="11" borderId="1" xfId="0" applyNumberFormat="1" applyFont="1" applyFill="1" applyBorder="1" applyAlignment="1">
      <x:alignment vertical="top" wrapText="1"/>
    </x:xf>
    <x:xf numFmtId="0" fontId="15" fillId="11" borderId="1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horizontal="center" vertical="top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9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7" fillId="6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5" fillId="12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vertical="center" wrapText="1"/>
    </x:xf>
    <x:xf numFmtId="0" fontId="3" fillId="12" borderId="1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16" fillId="1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46b12270dd465b" /><Relationship Type="http://schemas.openxmlformats.org/officeDocument/2006/relationships/theme" Target="/xl/theme/theme1.xml" Id="R6ffd9ceb831549da" /><Relationship Type="http://schemas.openxmlformats.org/officeDocument/2006/relationships/sharedStrings" Target="/xl/sharedStrings.xml" Id="R353b191db6974dca" /><Relationship Type="http://schemas.openxmlformats.org/officeDocument/2006/relationships/worksheet" Target="/xl/worksheets/sheet1.xml" Id="R3f9c7b29fb224825" /><Relationship Type="http://schemas.openxmlformats.org/officeDocument/2006/relationships/worksheet" Target="/xl/worksheets/sheet2.xml" Id="R7f1b559e71d342fb" /><Relationship Type="http://schemas.openxmlformats.org/officeDocument/2006/relationships/worksheet" Target="/xl/worksheets/sheet3.xml" Id="Rb855b5223ba84f56" /><Relationship Type="http://schemas.openxmlformats.org/officeDocument/2006/relationships/worksheet" Target="/xl/worksheets/sheet4.xml" Id="R2d6d18ada8ff49d2" /><Relationship Type="http://schemas.openxmlformats.org/officeDocument/2006/relationships/worksheet" Target="/xl/worksheets/sheet5.xml" Id="Rda3e689af70d4b2a" /></Relationships>
</file>

<file path=xl/tables/table1.xml><?xml version="1.0" encoding="utf-8"?>
<x:table xmlns:x="http://schemas.openxmlformats.org/spreadsheetml/2006/main" id="1" name="PR9TestCases" displayName="PR9TestCases" ref="A6:K39" headerRowCount="1" totalsRowCount="0" totalsRowShown="0">
  <x:tableColumns count="11">
    <x:tableColumn id="1" name="Case ID"/>
    <x:tableColumn id="2" name="Nhóm"/>
    <x:tableColumn id="3" name="Baseline SHA"/>
    <x:tableColumn id="4" name="Tiền điều kiện"/>
    <x:tableColumn id="5" name="Bước thực hiện"/>
    <x:tableColumn id="6" name="Expected"/>
    <x:tableColumn id="7" name="Actual / kết quả"/>
    <x:tableColumn id="8" name="Evidence ID"/>
    <x:tableColumn id="9" name="Status"/>
    <x:tableColumn id="10" name="Giới hạn / ghi chú"/>
    <x:tableColumn id="11" name="Nguồ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9Risks" displayName="PR9Risks" ref="A6:H14" headerRowCount="1" totalsRowCount="0" totalsRowShown="0">
  <x:tableColumns count="8">
    <x:tableColumn id="1" name="ID"/>
    <x:tableColumn id="2" name="Phân loại"/>
    <x:tableColumn id="3" name="Mức độ"/>
    <x:tableColumn id="4" name="Vấn đề / hiện trạng"/>
    <x:tableColumn id="5" name="Bằng chứng"/>
    <x:tableColumn id="6" name="Nhận định QA"/>
    <x:tableColumn id="7" name="Hành động / Owner"/>
    <x:tableColumn id="8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9Evidence" displayName="PR9Evidence" ref="A6:H21" headerRowCount="1" totalsRowCount="0" totalsRowShown="0">
  <x:tableColumns count="8">
    <x:tableColumn id="1" name="ID"/>
    <x:tableColumn id="2" name="Loại"/>
    <x:tableColumn id="3" name="Nguồn / Screenshot"/>
    <x:tableColumn id="4" name="SHA"/>
    <x:tableColumn id="5" name="Xác minh"/>
    <x:tableColumn id="6" name="Tình trạng"/>
    <x:tableColumn id="7" name="Lưu ý"/>
    <x:tableColumn id="8" name="Đối chiếu Wo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515b408205748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ca12df17834a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9a955fad19748d6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21" hidden="0" customWidth="1"/>
    <x:col min="3" max="3" width="39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7" customHeight="1">
      <x:c r="A1" s="4" t="str">
        <x:v>SMART PARKING  |  PR #9  |  QA FINAL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3" ht="23" customHeight="1">
      <x:c r="A3" s="10" t="str">
        <x:v>22/10/2026  •  Commit kiểm thử: 05e2976d  •  Task 2 độc lập, KHÔNG thuộc SPARK-177</x:v>
      </x:c>
      <x:c r="B3" s="10"/>
      <x:c r="C3" s="10"/>
      <x:c r="D3" s="10"/>
      <x:c r="E3" s="10"/>
      <x:c r="F3" s="10"/>
      <x:c r="G3" s="10"/>
      <x:c r="H3" s="10"/>
    </x:row>
    <x:row r="4" ht="12" customHeight="1"/>
    <x:row r="5" ht="30" customHeight="1">
      <x:c r="A5" s="14" t="str">
        <x:v>KẾT QUẢ CHÍNH</x:v>
      </x:c>
      <x:c r="B5" s="14"/>
      <x:c r="C5" s="14"/>
      <x:c r="D5" s="14"/>
    </x:row>
    <x:row r="6" ht="30" customHeight="1">
      <x:c r="F6" s="17" t="str">
        <x:v>TRẠNG THÁI CASE</x:v>
      </x:c>
      <x:c r="G6" s="17" t="str">
        <x:v>SỐ LƯỢNG</x:v>
      </x:c>
      <x:c r="H6" s="17" t="str">
        <x:v>CHÚ Ý</x:v>
      </x:c>
    </x:row>
    <x:row r="7" ht="43" customHeight="1">
      <x:c r="A7" s="17" t="str">
        <x:v>Đối tượng</x:v>
      </x:c>
      <x:c r="B7" s="17" t="str">
        <x:v>Kết quả</x:v>
      </x:c>
      <x:c r="C7" s="17" t="str">
        <x:v>Nguồn</x:v>
      </x:c>
      <x:c r="D7" s="17" t="str">
        <x:v>Điều kiện</x:v>
      </x:c>
      <x:c r="F7" s="22" t="str">
        <x:v>PASS (chi tiết)</x:v>
      </x:c>
      <x:c r="G7" s="94" t="n">
        <x:f>COUNTIF(TEST_CASES!I7:I39,"PASS")</x:f>
        <x:v>23</x:v>
      </x:c>
      <x:c r="H7" s="22" t="str">
        <x:v>Có case tóm tắt và chi tiết, không cộng vào 167</x:v>
      </x:c>
    </x:row>
    <x:row r="8" ht="43" customHeight="1">
      <x:c r="A8" s="22" t="str">
        <x:v>.NET test suite</x:v>
      </x:c>
      <x:c r="B8" s="27" t="n">
        <x:v>167</x:v>
      </x:c>
      <x:c r="C8" s="22" t="str">
        <x:v>167 PASS / 0 fail / 0 skip</x:v>
      </x:c>
      <x:c r="D8" s="22" t="str">
        <x:v>Trên commit 05e2976d</x:v>
      </x:c>
      <x:c r="F8" s="22" t="str">
        <x:v>FAIL - EXTERNAL</x:v>
      </x:c>
      <x:c r="G8" s="94" t="n">
        <x:f>COUNTIF(TEST_CASES!I7:I39,"FAIL - EXTERNAL")</x:f>
        <x:v>2</x:v>
      </x:c>
      <x:c r="H8" s="22" t="str">
        <x:v>Gmail chung cũ chưa hợp lệ</x:v>
      </x:c>
    </x:row>
    <x:row r="9" ht="43" customHeight="1">
      <x:c r="A9" s="22" t="str">
        <x:v>FE production build</x:v>
      </x:c>
      <x:c r="B9" s="27" t="str">
        <x:v>PASS</x:v>
      </x:c>
      <x:c r="C9" s="22" t="str">
        <x:v>npm run build / 779 modules</x:v>
      </x:c>
      <x:c r="D9" s="22" t="str">
        <x:v>Cảnh báo bundle &gt;500 kB</x:v>
      </x:c>
      <x:c r="F9" s="22" t="str">
        <x:v>NOT RETESTED</x:v>
      </x:c>
      <x:c r="G9" s="94" t="n">
        <x:f>COUNTIF(TEST_CASES!I7:I39,"NOT RETESTED")</x:f>
        <x:v>2</x:v>
      </x:c>
      <x:c r="H9" s="22" t="str">
        <x:v>Giới hạn regression</x:v>
      </x:c>
    </x:row>
    <x:row r="10" ht="43" customHeight="1">
      <x:c r="A10" s="22" t="str">
        <x:v>Owner E2E thật</x:v>
      </x:c>
      <x:c r="B10" s="27" t="str">
        <x:v>PASS</x:v>
      </x:c>
      <x:c r="C10" s="22" t="str">
        <x:v>Email OTP + admin approval + owner sign-in</x:v>
      </x:c>
      <x:c r="D10" s="22" t="str">
        <x:v>Gmail mới qtang889706@gmail.com</x:v>
      </x:c>
      <x:c r="F10" s="22" t="str">
        <x:v>NOT TESTED</x:v>
      </x:c>
      <x:c r="G10" s="94" t="n">
        <x:f>COUNTIF(TEST_CASES!I7:I39,"NOT TESTED")</x:f>
        <x:v>1</x:v>
      </x:c>
      <x:c r="H10" s="22" t="str">
        <x:v>Token revocation</x:v>
      </x:c>
    </x:row>
    <x:row r="11" ht="43" customHeight="1">
      <x:c r="A11" s="22" t="str">
        <x:v>Notification mail</x:v>
      </x:c>
      <x:c r="B11" s="27" t="str">
        <x:v>PASS</x:v>
      </x:c>
      <x:c r="C11" s="22" t="str">
        <x:v>Email approval nhận trong Inbox</x:v>
      </x:c>
      <x:c r="D11" s="22" t="str">
        <x:v>Backend recorded sent</x:v>
      </x:c>
      <x:c r="F11" s="22" t="str">
        <x:v>NEEDS CLARIFICATION</x:v>
      </x:c>
      <x:c r="G11" s="94" t="n">
        <x:f>COUNTIF(TEST_CASES!I7:I39,"NEEDS CLARIFICATION")</x:f>
        <x:v>1</x:v>
      </x:c>
      <x:c r="H11" s="22" t="str">
        <x:v>Planned vs physical slots</x:v>
      </x:c>
    </x:row>
    <x:row r="12" ht="43" customHeight="1">
      <x:c r="A12" s="22" t="str">
        <x:v>Shared Gmail cũ</x:v>
      </x:c>
      <x:c r="B12" s="31" t="str">
        <x:v>FAIL 535</x:v>
      </x:c>
      <x:c r="C12" s="22" t="str">
        <x:v>support.smartparkingvn@gmail.com</x:v>
      </x:c>
      <x:c r="D12" s="22" t="str">
        <x:v>Credential/account; chưa quy code</x:v>
      </x:c>
      <x:c r="F12" s="22" t="str">
        <x:v>OTP/Owner E2E PASS</x:v>
      </x:c>
      <x:c r="G12" s="94" t="n">
        <x:f>COUNTIF(TEST_CASES!I27:I36,"PASS")</x:f>
        <x:v>10</x:v>
      </x:c>
      <x:c r="H12" s="22" t="str">
        <x:v>10 bước độc lập, E2E positive</x:v>
      </x:c>
    </x:row>
    <x:row r="14" ht="34" customHeight="1">
      <x:c r="A14" s="35" t="str">
        <x:v>ĐÁNH GIÁ QA — TARGETED E2E PASS, CHỜ XÁC NHẬN SIGN-OFF TOÀN PR</x:v>
      </x:c>
      <x:c r="B14" s="35"/>
      <x:c r="C14" s="35"/>
      <x:c r="D14" s="35"/>
      <x:c r="E14" s="35"/>
      <x:c r="F14" s="35"/>
      <x:c r="G14" s="35"/>
      <x:c r="H14" s="35"/>
    </x:row>
    <x:row r="16" ht="45" customHeight="1">
      <x:c r="A16" s="39" t="str">
        <x:v>• Đã kiểm thử thành công chuỗi Business/Owner registration → setup lot → OTP Gmail thật → verify → Admin Approve → notification sent → Gmail nhận email quyết định → Owner login → Dashboard/site filter.</x:v>
      </x:c>
      <x:c r="B16" s="39"/>
      <x:c r="C16" s="39"/>
      <x:c r="D16" s="39"/>
      <x:c r="E16" s="39"/>
      <x:c r="F16" s="39"/>
      <x:c r="G16" s="39"/>
      <x:c r="H16" s="39"/>
    </x:row>
    <x:row r="17" ht="38" customHeight="1">
      <x:c r="A17" s="39" t="str">
        <x:v>• Không đánh đồng 167 .NET tests với kiểm thử E2E trình duyệt. Kết quả từ commit cũ được đánh dấu PREVIOUS và không cộng dồn.</x:v>
      </x:c>
      <x:c r="B17" s="39"/>
      <x:c r="C17" s="39"/>
      <x:c r="D17" s="39"/>
      <x:c r="E17" s="39"/>
      <x:c r="F17" s="39"/>
      <x:c r="G17" s="39"/>
      <x:c r="H17" s="39"/>
    </x:row>
    <x:row r="18" ht="38" customHeight="1">
      <x:c r="A18" s="39" t="str">
        <x:v>• Các vùng còn mở: Gmail chung cũ 535; OTP negative/resend trên FE mới; access/refresh token revoke API; Driver/Operator regression; planned spaces vs physical capacity.</x:v>
      </x:c>
      <x:c r="B18" s="39"/>
      <x:c r="C18" s="39"/>
      <x:c r="D18" s="39"/>
      <x:c r="E18" s="39"/>
      <x:c r="F18" s="39"/>
      <x:c r="G18" s="39"/>
      <x:c r="H18" s="39"/>
    </x:row>
    <x:row r="19" ht="38" customHeight="1">
      <x:c r="A19" s="39" t="str">
        <x:v>• Bộ hồ sơ: TEST_CASES có bước/expected/actual; EVIDENCE đối chiếu ảnh đã nhúng trong Word; HISTORY ghi chú lịch sử baseline.</x:v>
      </x:c>
      <x:c r="B19" s="39"/>
      <x:c r="C19" s="39"/>
      <x:c r="D19" s="39"/>
      <x:c r="E19" s="39"/>
      <x:c r="F19" s="39"/>
      <x:c r="G19" s="39"/>
      <x:c r="H19" s="39"/>
    </x:row>
    <x:row r="21" ht="24" customHeight="1">
      <x:c r="A21" s="43" t="str">
        <x:v>PR: https://github.com/Quangthm/Mock-Project-Smart-Parking/pull/9</x:v>
      </x:c>
      <x:c r="B21" s="43"/>
      <x:c r="C21" s="43"/>
      <x:c r="D21" s="43"/>
      <x:c r="E21" s="43"/>
      <x:c r="F21" s="43"/>
      <x:c r="G21" s="43"/>
      <x:c r="H21" s="43"/>
    </x:row>
    <x:row r="22" ht="28" customHeight="1">
      <x:c r="A22" s="99" t="str">
        <x:v>QA TESTER: Tạ Ngọc Hoàng Phan  •  Report date: 22/10/2026  •  Review/merge approval remains with project Leader</x:v>
      </x:c>
      <x:c r="B22" s="99"/>
      <x:c r="C22" s="99"/>
      <x:c r="D22" s="99"/>
      <x:c r="E22" s="99"/>
      <x:c r="F22" s="99"/>
      <x:c r="G22" s="99"/>
      <x:c r="H22" s="99"/>
    </x:row>
  </x:sheetData>
  <x:mergeCells>
    <x:mergeCell ref="A1:H2"/>
    <x:mergeCell ref="A3:H3"/>
    <x:mergeCell ref="A5:D5"/>
    <x:mergeCell ref="A14:H14"/>
    <x:mergeCell ref="A16:H16"/>
    <x:mergeCell ref="A17:H17"/>
    <x:mergeCell ref="A18:H18"/>
    <x:mergeCell ref="A19:H19"/>
    <x:mergeCell ref="A21:H21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6" hidden="0" customWidth="1"/>
    <x:col min="4" max="4" width="43" hidden="0" customWidth="1"/>
    <x:col min="5" max="5" width="51" hidden="0" customWidth="1"/>
    <x:col min="6" max="6" width="39" hidden="0" customWidth="1"/>
    <x:col min="7" max="7" width="53" hidden="0" customWidth="1"/>
    <x:col min="8" max="8" width="21" hidden="0" customWidth="1"/>
    <x:col min="9" max="9" width="22" hidden="0" customWidth="1"/>
    <x:col min="10" max="10" width="49" hidden="0" customWidth="1"/>
    <x:col min="11" max="11" width="18" hidden="0" customWidth="1"/>
  </x:cols>
  <x:sheetData>
    <x:row r="1" ht="27" customHeight="1">
      <x:c r="A1" s="4" t="str">
        <x:v>PR #9  |  TEST CASES &amp; TRACEABILITY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7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</x:row>
    <x:row r="3" ht="23" customHeight="1">
      <x:c r="A3" s="10" t="str">
        <x:v>Tất cả case có preconditions, steps, expected, actual, evidence và baseline; dòng PREVIOUS không cộng dồn với commit hiện tại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</x:row>
    <x:row r="4" ht="12" customHeight="1"/>
    <x:row r="6" ht="35" customHeight="1">
      <x:c r="A6" s="48" t="str">
        <x:v>Case ID</x:v>
      </x:c>
      <x:c r="B6" s="48" t="str">
        <x:v>Nhóm</x:v>
      </x:c>
      <x:c r="C6" s="48" t="str">
        <x:v>Baseline SHA</x:v>
      </x:c>
      <x:c r="D6" s="48" t="str">
        <x:v>Tiền điều kiện</x:v>
      </x:c>
      <x:c r="E6" s="48" t="str">
        <x:v>Bước thực hiện</x:v>
      </x:c>
      <x:c r="F6" s="48" t="str">
        <x:v>Expected</x:v>
      </x:c>
      <x:c r="G6" s="48" t="str">
        <x:v>Actual / kết quả</x:v>
      </x:c>
      <x:c r="H6" s="48" t="str">
        <x:v>Evidence ID</x:v>
      </x:c>
      <x:c r="I6" s="48" t="str">
        <x:v>Status</x:v>
      </x:c>
      <x:c r="J6" s="48" t="str">
        <x:v>Giới hạn / ghi chú</x:v>
      </x:c>
      <x:c r="K6" s="48" t="str">
        <x:v>Nguồn</x:v>
      </x:c>
    </x:row>
    <x:row r="7" ht="72" customHeight="1">
      <x:c r="A7" s="54" t="str">
        <x:v>PR9-R22-01</x:v>
      </x:c>
      <x:c r="B7" s="56" t="str">
        <x:v>Automated .NET</x:v>
      </x:c>
      <x:c r="C7" s="52" t="str">
        <x:v>05e2976d</x:v>
      </x:c>
      <x:c r="D7" s="52" t="str">
        <x:v>Docker DB/broker ready; VS API đã dừng</x:v>
      </x:c>
      <x:c r="E7" s="52" t="str">
        <x:v>dotnet test SmartParking.slnx --no-restore --settings smartpark.local.runsettings</x:v>
      </x:c>
      <x:c r="F7" s="52" t="str">
        <x:v>Build &amp; test không lỗi; không skip</x:v>
      </x:c>
      <x:c r="G7" s="52" t="str">
        <x:v>167 succeeded, 0 failed, 0 skipped; 43.0s</x:v>
      </x:c>
      <x:c r="H7" s="52" t="str">
        <x:v>EV-AUTO-01</x:v>
      </x:c>
      <x:c r="I7" s="61" t="str">
        <x:v>PASS</x:v>
      </x:c>
      <x:c r="J7" s="52" t="str">
        <x:v>Không gọi tất cả 167 là browser E2E</x:v>
      </x:c>
      <x:c r="K7" s="67" t="str">
        <x:v>CURRENT SHA</x:v>
      </x:c>
    </x:row>
    <x:row r="8" ht="72" customHeight="1">
      <x:c r="A8" s="54" t="str">
        <x:v>PR9-R22-02</x:v>
      </x:c>
      <x:c r="B8" s="56" t="str">
        <x:v>Frontend build</x:v>
      </x:c>
      <x:c r="C8" s="52" t="str">
        <x:v>05e2976d</x:v>
      </x:c>
      <x:c r="D8" s="52" t="str">
        <x:v>FE deps đã cài</x:v>
      </x:c>
      <x:c r="E8" s="52" t="str">
        <x:v>npm run build</x:v>
      </x:c>
      <x:c r="F8" s="52" t="str">
        <x:v>Exit 0</x:v>
      </x:c>
      <x:c r="G8" s="52" t="str">
        <x:v>779 modules; Vite 8.3.1; exit=0</x:v>
      </x:c>
      <x:c r="H8" s="52" t="str">
        <x:v>EV-FE-01</x:v>
      </x:c>
      <x:c r="I8" s="61" t="str">
        <x:v>PASS</x:v>
      </x:c>
      <x:c r="J8" s="52" t="str">
        <x:v>Bundle-size warning không FAIL</x:v>
      </x:c>
      <x:c r="K8" s="67" t="str">
        <x:v>CURRENT SHA</x:v>
      </x:c>
    </x:row>
    <x:row r="9" ht="72" customHeight="1">
      <x:c r="A9" s="54" t="str">
        <x:v>PR9-R22-03</x:v>
      </x:c>
      <x:c r="B9" s="56" t="str">
        <x:v>Backend bootstrap</x:v>
      </x:c>
      <x:c r="C9" s="52" t="str">
        <x:v>05e2976d</x:v>
      </x:c>
      <x:c r="D9" s="52" t="str">
        <x:v>User/Facility/Reservation local; Docker ready</x:v>
      </x:c>
      <x:c r="E9" s="52" t="str">
        <x:v>VS Multiple Startup: 3 project API</x:v>
      </x:c>
      <x:c r="F9" s="52" t="str">
        <x:v>HTTP 5035/5045/5055 listen</x:v>
      </x:c>
      <x:c r="G9" s="52" t="str">
        <x:v>3 consoles Application started; Now listening</x:v>
      </x:c>
      <x:c r="H9" s="52" t="str">
        <x:v>EV-BE-01</x:v>
      </x:c>
      <x:c r="I9" s="61" t="str">
        <x:v>PASS</x:v>
      </x:c>
      <x:c r="J9" s="52" t="str">
        <x:v>New FacilityService rename</x:v>
      </x:c>
      <x:c r="K9" s="67" t="str">
        <x:v>CURRENT SHA</x:v>
      </x:c>
    </x:row>
    <x:row r="10" ht="72" customHeight="1">
      <x:c r="A10" s="54" t="str">
        <x:v>PR9-R22-04</x:v>
      </x:c>
      <x:c r="B10" s="56" t="str">
        <x:v>Admin login</x:v>
      </x:c>
      <x:c r="C10" s="52" t="str">
        <x:v>05e2976d</x:v>
      </x:c>
      <x:c r="D10" s="52" t="str">
        <x:v>Admin existing; FE 5173</x:v>
      </x:c>
      <x:c r="E10" s="52" t="str">
        <x:v>Sign In Admin</x:v>
      </x:c>
      <x:c r="F10" s="52" t="str">
        <x:v>Authenticated admin UI</x:v>
      </x:c>
      <x:c r="G10" s="52" t="str">
        <x:v>Admin role menu and Applications visible</x:v>
      </x:c>
      <x:c r="H10" s="52" t="str">
        <x:v>EV-ADMIN-01</x:v>
      </x:c>
      <x:c r="I10" s="61" t="str">
        <x:v>PASS</x:v>
      </x:c>
      <x:c r="J10" s="52" t="str">
        <x:v>Không lặp đăng ký tài khoản</x:v>
      </x:c>
      <x:c r="K10" s="67" t="str">
        <x:v>CURRENT SHA</x:v>
      </x:c>
    </x:row>
    <x:row r="11" ht="72" customHeight="1">
      <x:c r="A11" s="54" t="str">
        <x:v>PR9-R22-05</x:v>
      </x:c>
      <x:c r="B11" s="56" t="str">
        <x:v>Approval display</x:v>
      </x:c>
      <x:c r="C11" s="52" t="str">
        <x:v>05e2976d</x:v>
      </x:c>
      <x:c r="D11" s="52" t="str">
        <x:v>Owner đã được approve trong dữ liệu cũ</x:v>
      </x:c>
      <x:c r="E11" s="52" t="str">
        <x:v>Admin &gt; Owner Partnership Applications</x:v>
      </x:c>
      <x:c r="F11" s="52" t="str">
        <x:v>Existing APPROVED owner visible</x:v>
      </x:c>
      <x:c r="G11" s="52" t="str">
        <x:v>QA Test Parking APPROVED / notification sent</x:v>
      </x:c>
      <x:c r="H11" s="52" t="str">
        <x:v>EV-ADMIN-OLD</x:v>
      </x:c>
      <x:c r="I11" s="61" t="str">
        <x:v>PASS</x:v>
      </x:c>
      <x:c r="J11" s="52" t="str">
        <x:v>Display of persisted mock-send; not Gmail evidence</x:v>
      </x:c>
      <x:c r="K11" s="67" t="str">
        <x:v>CURRENT SHA</x:v>
      </x:c>
    </x:row>
    <x:row r="12" ht="72" customHeight="1">
      <x:c r="A12" s="54" t="str">
        <x:v>PR9-R22-06</x:v>
      </x:c>
      <x:c r="B12" s="56" t="str">
        <x:v>Owner login</x:v>
      </x:c>
      <x:c r="C12" s="52" t="str">
        <x:v>05e2976d</x:v>
      </x:c>
      <x:c r="D12" s="52" t="str">
        <x:v>Owner QA Tester existing</x:v>
      </x:c>
      <x:c r="E12" s="52" t="str">
        <x:v>Sign In Owner</x:v>
      </x:c>
      <x:c r="F12" s="52" t="str">
        <x:v>Owner role access</x:v>
      </x:c>
      <x:c r="G12" s="52" t="str">
        <x:v>Owner authenticated / QA Tester displayed</x:v>
      </x:c>
      <x:c r="H12" s="52" t="str">
        <x:v>EV-OWNER-OLD</x:v>
      </x:c>
      <x:c r="I12" s="61" t="str">
        <x:v>PASS</x:v>
      </x:c>
      <x:c r="J12" s="52" t="str">
        <x:v>-</x:v>
      </x:c>
      <x:c r="K12" s="67" t="str">
        <x:v>CURRENT SHA</x:v>
      </x:c>
    </x:row>
    <x:row r="13" ht="72" customHeight="1">
      <x:c r="A13" s="54" t="str">
        <x:v>PR9-R22-07</x:v>
      </x:c>
      <x:c r="B13" s="56" t="str">
        <x:v>Owner Site list</x:v>
      </x:c>
      <x:c r="C13" s="52" t="str">
        <x:v>05e2976d</x:v>
      </x:c>
      <x:c r="D13" s="52" t="str">
        <x:v>Owner logged in</x:v>
      </x:c>
      <x:c r="E13" s="52" t="str">
        <x:v>Site &amp; Staff Management</x:v>
      </x:c>
      <x:c r="F13" s="52" t="str">
        <x:v>Facility displayed + ACTIVE</x:v>
      </x:c>
      <x:c r="G13" s="52" t="str">
        <x:v>PR9 QA SMTP Test Lot; ACTIVE; 0 physical slots</x:v>
      </x:c>
      <x:c r="H13" s="52" t="str">
        <x:v>EV-OWNER-OLD</x:v>
      </x:c>
      <x:c r="I13" s="61" t="str">
        <x:v>PASS</x:v>
      </x:c>
      <x:c r="J13" s="52" t="str">
        <x:v>Physical layout chưa tạo</x:v>
      </x:c>
      <x:c r="K13" s="67" t="str">
        <x:v>CURRENT SHA</x:v>
      </x:c>
    </x:row>
    <x:row r="14" ht="72" customHeight="1">
      <x:c r="A14" s="54" t="str">
        <x:v>PR9-R22-08</x:v>
      </x:c>
      <x:c r="B14" s="56" t="str">
        <x:v>Owner Dashboard</x:v>
      </x:c>
      <x:c r="C14" s="52" t="str">
        <x:v>05e2976d</x:v>
      </x:c>
      <x:c r="D14" s="52" t="str">
        <x:v>Owner logged in; site present</x:v>
      </x:c>
      <x:c r="E14" s="52" t="str">
        <x:v>Select PR9 QA SMTP Test Lot at Site filter</x:v>
      </x:c>
      <x:c r="F14" s="52" t="str">
        <x:v>Dashboard filters correct facility</x:v>
      </x:c>
      <x:c r="G14" s="52" t="str">
        <x:v>Filtered site view; Capacity 0</x:v>
      </x:c>
      <x:c r="H14" s="52" t="str">
        <x:v>EV-OWNER-OLD</x:v>
      </x:c>
      <x:c r="I14" s="61" t="str">
        <x:v>PASS</x:v>
      </x:c>
      <x:c r="J14" s="52" t="str">
        <x:v>Capacity driven by saved physical layout</x:v>
      </x:c>
      <x:c r="K14" s="67" t="str">
        <x:v>CURRENT SHA</x:v>
      </x:c>
    </x:row>
    <x:row r="15" ht="72" customHeight="1">
      <x:c r="A15" s="54" t="str">
        <x:v>PR9-R22-09</x:v>
      </x:c>
      <x:c r="B15" s="56" t="str">
        <x:v>Driver Signup UI</x:v>
      </x:c>
      <x:c r="C15" s="52" t="str">
        <x:v>05e2976d</x:v>
      </x:c>
      <x:c r="D15" s="52" t="str">
        <x:v>Incognito, unauthenticated</x:v>
      </x:c>
      <x:c r="E15" s="52" t="str">
        <x:v>Sign Up &gt; Driver</x:v>
      </x:c>
      <x:c r="F15" s="52" t="str">
        <x:v>Fields rendered</x:v>
      </x:c>
      <x:c r="G15" s="52" t="str">
        <x:v>Driver form shown with contact/password fields</x:v>
      </x:c>
      <x:c r="H15" s="52" t="str">
        <x:v>EV-UI-OLD</x:v>
      </x:c>
      <x:c r="I15" s="61" t="str">
        <x:v>PASS</x:v>
      </x:c>
      <x:c r="J15" s="52" t="str">
        <x:v>UI only</x:v>
      </x:c>
      <x:c r="K15" s="67" t="str">
        <x:v>CURRENT SHA</x:v>
      </x:c>
    </x:row>
    <x:row r="16" ht="72" customHeight="1">
      <x:c r="A16" s="54" t="str">
        <x:v>PR9-R22-10</x:v>
      </x:c>
      <x:c r="B16" s="56" t="str">
        <x:v>Business Signup UI</x:v>
      </x:c>
      <x:c r="C16" s="52" t="str">
        <x:v>05e2976d</x:v>
      </x:c>
      <x:c r="D16" s="52" t="str">
        <x:v>Incognito, unauthenticated</x:v>
      </x:c>
      <x:c r="E16" s="52" t="str">
        <x:v>Sign Up &gt; Business</x:v>
      </x:c>
      <x:c r="F16" s="52" t="str">
        <x:v>Business fields rendered</x:v>
      </x:c>
      <x:c r="G16" s="52" t="str">
        <x:v>Name, email, phone, lot type, password fields shown</x:v>
      </x:c>
      <x:c r="H16" s="52" t="str">
        <x:v>EV-UI-OLD</x:v>
      </x:c>
      <x:c r="I16" s="61" t="str">
        <x:v>PASS</x:v>
      </x:c>
      <x:c r="J16" s="52" t="str">
        <x:v>UI only, did not submit</x:v>
      </x:c>
      <x:c r="K16" s="67" t="str">
        <x:v>CURRENT SHA</x:v>
      </x:c>
    </x:row>
    <x:row r="17" ht="72" customHeight="1">
      <x:c r="A17" s="54" t="str">
        <x:v>PR9-R22-11</x:v>
      </x:c>
      <x:c r="B17" s="56" t="str">
        <x:v>Business empty-submit</x:v>
      </x:c>
      <x:c r="C17" s="52" t="str">
        <x:v>05e2976d</x:v>
      </x:c>
      <x:c r="D17" s="52" t="str">
        <x:v>Blank Business form</x:v>
      </x:c>
      <x:c r="E17" s="52" t="str">
        <x:v>Click Continue to Parking Lot Setup</x:v>
      </x:c>
      <x:c r="F17" s="52" t="str">
        <x:v>Required field blocks progression</x:v>
      </x:c>
      <x:c r="G17" s="52" t="str">
        <x:v>Browser prompt: Vui lòng điền vào trường này</x:v>
      </x:c>
      <x:c r="H17" s="52" t="str">
        <x:v>EV-UI-OLD</x:v>
      </x:c>
      <x:c r="I17" s="61" t="str">
        <x:v>PASS</x:v>
      </x:c>
      <x:c r="J17" s="52" t="str">
        <x:v>Client HTML5 only; no backend submission</x:v>
      </x:c>
      <x:c r="K17" s="67" t="str">
        <x:v>CURRENT SHA</x:v>
      </x:c>
    </x:row>
    <x:row r="18" ht="72" customHeight="1">
      <x:c r="A18" s="54" t="str">
        <x:v>PR9-R22-12</x:v>
      </x:c>
      <x:c r="B18" s="56" t="str">
        <x:v>Owner logout</x:v>
      </x:c>
      <x:c r="C18" s="52" t="str">
        <x:v>05e2976d</x:v>
      </x:c>
      <x:c r="D18" s="52" t="str">
        <x:v>Owner logged in</x:v>
      </x:c>
      <x:c r="E18" s="52" t="str">
        <x:v>Logout; browser Back; hard refresh</x:v>
      </x:c>
      <x:c r="F18" s="52" t="str">
        <x:v>Private dashboard not shown</x:v>
      </x:c>
      <x:c r="G18" s="52" t="str">
        <x:v>Public Home with Sign In / Sign Up</x:v>
      </x:c>
      <x:c r="H18" s="52" t="str">
        <x:v>EV-LOGOUT-OLD</x:v>
      </x:c>
      <x:c r="I18" s="73" t="str">
        <x:v>PASS LIMITED</x:v>
      </x:c>
      <x:c r="J18" s="52" t="str">
        <x:v>UI session only</x:v>
      </x:c>
      <x:c r="K18" s="67" t="str">
        <x:v>CURRENT SHA</x:v>
      </x:c>
    </x:row>
    <x:row r="19" ht="72" customHeight="1">
      <x:c r="A19" s="54" t="str">
        <x:v>PR9-R22-13</x:v>
      </x:c>
      <x:c r="B19" s="56" t="str">
        <x:v>SMTP mock transport</x:v>
      </x:c>
      <x:c r="C19" s="52" t="str">
        <x:v>PREVIOUS</x:v>
      </x:c>
      <x:c r="D19" s="52" t="str">
        <x:v>smtp4dev transient backend settings</x:v>
      </x:c>
      <x:c r="E19" s="52" t="str">
        <x:v>Resend Owner decision using smtp4dev</x:v>
      </x:c>
      <x:c r="F19" s="52" t="str">
        <x:v>Mail delivered and status=sent</x:v>
      </x:c>
      <x:c r="G19" s="52" t="str">
        <x:v>smtp4dev inbox received; workflow_deliveries status=sent</x:v>
      </x:c>
      <x:c r="H19" s="52" t="str">
        <x:v>EV-MOCK-OLD</x:v>
      </x:c>
      <x:c r="I19" s="73" t="str">
        <x:v>PASS - PREVIOUS</x:v>
      </x:c>
      <x:c r="J19" s="52" t="str">
        <x:v>Safe SMTP mock; no secret saved</x:v>
      </x:c>
      <x:c r="K19" s="79" t="str">
        <x:v>PREVIOUS BASELINE</x:v>
      </x:c>
    </x:row>
    <x:row r="20" ht="72" customHeight="1">
      <x:c r="A20" s="54" t="str">
        <x:v>PR9-R22-14</x:v>
      </x:c>
      <x:c r="B20" s="56" t="str">
        <x:v>Shared Gmail SMTP</x:v>
      </x:c>
      <x:c r="C20" s="52" t="str">
        <x:v>PREVIOUS</x:v>
      </x:c>
      <x:c r="D20" s="52" t="str">
        <x:v>SMTP shared account configured</x:v>
      </x:c>
      <x:c r="E20" s="52" t="str">
        <x:v>Direct .NET SmtpClient with shared credentials</x:v>
      </x:c>
      <x:c r="F20" s="52" t="str">
        <x:v>SMTP authentication successful</x:v>
      </x:c>
      <x:c r="G20" s="52" t="str">
        <x:v>Shared Gmail đã cấp App Password mới vẫn bị Gmail từ chối 535 sau TLS; tài khoản thay thế AUTH 235/SEND PASS</x:v>
      </x:c>
      <x:c r="H20" s="52" t="str">
        <x:v>EV-SMTP-OLD</x:v>
      </x:c>
      <x:c r="I20" s="85" t="str">
        <x:v>FAIL - EXTERNAL</x:v>
      </x:c>
      <x:c r="J20" s="52" t="str">
        <x:v>Không tự quy lỗi code; cần chủ tài khoản shared xử lý xác thực riêng.</x:v>
      </x:c>
      <x:c r="K20" s="79" t="str">
        <x:v>PREVIOUS BASELINE</x:v>
      </x:c>
    </x:row>
    <x:row r="21" ht="72" customHeight="1">
      <x:c r="A21" s="54" t="str">
        <x:v>PR9-R22-15</x:v>
      </x:c>
      <x:c r="B21" s="56" t="str">
        <x:v>Owner signup E2E</x:v>
      </x:c>
      <x:c r="C21" s="52" t="str">
        <x:v>05e2976d</x:v>
      </x:c>
      <x:c r="D21" s="52" t="str">
        <x:v>New QA identity; SMTP Gmail thay thế hợp lệ; 3 APIs + FE chạy</x:v>
      </x:c>
      <x:c r="E21" s="52" t="str">
        <x:v>Đăng ký Business/Owner → cấu hình 5 bước → nhận OTP thật → Verify → Admin Approve → nhận mail → Owner login</x:v>
      </x:c>
      <x:c r="F21" s="52" t="str">
        <x:v>Full new HEAD journey works</x:v>
      </x:c>
      <x:c r="G21" s="52" t="str">
        <x:v>Luồng chạy hoàn tất; Gmail OTP + decision mail đến Inbox; Owner thấy đúng site</x:v>
      </x:c>
      <x:c r="H21" s="52" t="str">
        <x:v>EV-E2E-01..08</x:v>
      </x:c>
      <x:c r="I21" s="61" t="str">
        <x:v>PASS</x:v>
      </x:c>
      <x:c r="J21" s="52" t="str">
        <x:v>Test lại mới trên SHA 05e2976d; xem bộ E2E chi tiết dưới đây.</x:v>
      </x:c>
      <x:c r="K21" s="67" t="str">
        <x:v>CURRENT SHA</x:v>
      </x:c>
    </x:row>
    <x:row r="22" ht="72" customHeight="1">
      <x:c r="A22" s="54" t="str">
        <x:v>PR9-R22-16</x:v>
      </x:c>
      <x:c r="B22" s="56" t="str">
        <x:v>OTP errors/retry</x:v>
      </x:c>
      <x:c r="C22" s="52" t="str">
        <x:v>05e2976d</x:v>
      </x:c>
      <x:c r="D22" s="52" t="str">
        <x:v>Isolated safe OTP test needed</x:v>
      </x:c>
      <x:c r="E22" s="52" t="str">
        <x:v>Expired/invalid OTP, resend, retries via updated UI</x:v>
      </x:c>
      <x:c r="F22" s="52" t="str">
        <x:v>Appropriate error and retry behavior</x:v>
      </x:c>
      <x:c r="G22" s="52" t="str">
        <x:v>Not retested on new frontend</x:v>
      </x:c>
      <x:c r="H22" s="52" t="str">
        <x:v>GAP-OTP-NEG</x:v>
      </x:c>
      <x:c r="I22" s="73" t="str">
        <x:v>NOT RETESTED</x:v>
      </x:c>
      <x:c r="J22" s="52" t="str">
        <x:v>Old HTTP08 idempotency previously PASS</x:v>
      </x:c>
      <x:c r="K22" s="67" t="str">
        <x:v>CURRENT SHA</x:v>
      </x:c>
    </x:row>
    <x:row r="23" ht="72" customHeight="1">
      <x:c r="A23" s="54" t="str">
        <x:v>PR9-R22-17</x:v>
      </x:c>
      <x:c r="B23" s="56" t="str">
        <x:v>Token invalidation API</x:v>
      </x:c>
      <x:c r="C23" s="52" t="str">
        <x:v>05e2976d</x:v>
      </x:c>
      <x:c r="D23" s="52" t="str">
        <x:v>Need access/refresh token evidence</x:v>
      </x:c>
      <x:c r="E23" s="52" t="str">
        <x:v>Logout -&gt; direct API with prior token</x:v>
      </x:c>
      <x:c r="F23" s="52" t="str">
        <x:v>401 / invalidated session</x:v>
      </x:c>
      <x:c r="G23" s="52" t="str">
        <x:v>Only public page after reload observed</x:v>
      </x:c>
      <x:c r="H23" s="52" t="str">
        <x:v>GAP-TOKEN</x:v>
      </x:c>
      <x:c r="I23" s="73" t="str">
        <x:v>NOT TESTED</x:v>
      </x:c>
      <x:c r="J23" s="52" t="str">
        <x:v>Do not infer server-side revocation from UI</x:v>
      </x:c>
      <x:c r="K23" s="67" t="str">
        <x:v>CURRENT SHA</x:v>
      </x:c>
    </x:row>
    <x:row r="24" ht="72" customHeight="1">
      <x:c r="A24" s="54" t="str">
        <x:v>PR9-R22-18</x:v>
      </x:c>
      <x:c r="B24" s="56" t="str">
        <x:v>Driver / Operator regression</x:v>
      </x:c>
      <x:c r="C24" s="52" t="str">
        <x:v>05e2976d</x:v>
      </x:c>
      <x:c r="D24" s="52" t="str">
        <x:v>New FE has broad diff</x:v>
      </x:c>
      <x:c r="E24" s="52" t="str">
        <x:v>Booking, lot status, operator flows</x:v>
      </x:c>
      <x:c r="F24" s="52" t="str">
        <x:v>No regression</x:v>
      </x:c>
      <x:c r="G24" s="52" t="str">
        <x:v>Not covered by this round</x:v>
      </x:c>
      <x:c r="H24" s="52" t="str">
        <x:v>GAP-REG</x:v>
      </x:c>
      <x:c r="I24" s="73" t="str">
        <x:v>NOT RETESTED</x:v>
      </x:c>
      <x:c r="J24" s="52" t="str">
        <x:v>Many FE refactor files from develop sync</x:v>
      </x:c>
      <x:c r="K24" s="67" t="str">
        <x:v>CURRENT SHA</x:v>
      </x:c>
    </x:row>
    <x:row r="25" ht="72" customHeight="1">
      <x:c r="A25" s="54" t="str">
        <x:v>PR9-R22-19</x:v>
      </x:c>
      <x:c r="B25" s="56" t="str">
        <x:v>Capacity vs planned spaces</x:v>
      </x:c>
      <x:c r="C25" s="52" t="str">
        <x:v>05e2976d</x:v>
      </x:c>
      <x:c r="D25" s="52" t="str">
        <x:v>Site created, no structure slots</x:v>
      </x:c>
      <x:c r="E25" s="52" t="str">
        <x:v>Compare Dashboard / Structure / Edit planned capacity</x:v>
      </x:c>
      <x:c r="F25" s="52" t="str">
        <x:v>Display consistent with physical layout</x:v>
      </x:c>
      <x:c r="G25" s="52" t="str">
        <x:v>Setup khai báo 20 chỗ; Dashboard physical capacity = 0; chưa có cấu hình physical layout</x:v>
      </x:c>
      <x:c r="H25" s="52" t="str">
        <x:v>EV-OWNER-03</x:v>
      </x:c>
      <x:c r="I25" s="73" t="str">
        <x:v>NEEDS CLARIFICATION</x:v>
      </x:c>
      <x:c r="J25" s="52" t="str">
        <x:v>Không đủ bằng chứng kết luận bug.</x:v>
      </x:c>
      <x:c r="K25" s="67" t="str">
        <x:v>CURRENT SHA</x:v>
      </x:c>
    </x:row>
    <x:row r="26" ht="72" customHeight="1">
      <x:c r="A26" s="54" t="str">
        <x:v>PR9-R22-20</x:v>
      </x:c>
      <x:c r="B26" s="56" t="str">
        <x:v>Owner legacy HTTP</x:v>
      </x:c>
      <x:c r="C26" s="52" t="str">
        <x:v>OLD BASELINE</x:v>
      </x:c>
      <x:c r="D26" s="52" t="str">
        <x:v>Prior isolated environment</x:v>
      </x:c>
      <x:c r="E26" s="52" t="str">
        <x:v>Owner verify 200; admin login 200; admin list 200</x:v>
      </x:c>
      <x:c r="F26" s="52" t="str">
        <x:v>HTTP 200 cases</x:v>
      </x:c>
      <x:c r="G26" s="52" t="str">
        <x:v>Prior Step8 R1 passes</x:v>
      </x:c>
      <x:c r="H26" s="52" t="str">
        <x:v>EV-HTTP-OLD</x:v>
      </x:c>
      <x:c r="I26" s="73" t="str">
        <x:v>PASS - PREVIOUS</x:v>
      </x:c>
      <x:c r="J26" s="52" t="str">
        <x:v>See historical traceability/evidence sheets</x:v>
      </x:c>
      <x:c r="K26" s="79" t="str">
        <x:v>PREVIOUS BASELINE</x:v>
      </x:c>
    </x:row>
    <x:row r="27" ht="72" customHeight="1">
      <x:c r="A27" s="54" t="str">
        <x:v>PR9-E2E-01</x:v>
      </x:c>
      <x:c r="B27" s="56" t="str">
        <x:v>E2E / New Owner</x:v>
      </x:c>
      <x:c r="C27" s="52" t="str">
        <x:v>05e2976d</x:v>
      </x:c>
      <x:c r="D27" s="52" t="str">
        <x:v>QA email alias chưa tồn tại, số thử không trùng</x:v>
      </x:c>
      <x:c r="E27" s="52" t="str">
        <x:v>Sign Up &gt; Business; tạo tài khoản test</x:v>
      </x:c>
      <x:c r="F27" s="52" t="str">
        <x:v>Chấp nhận đăng ký hợp lệ</x:v>
      </x:c>
      <x:c r="G27" s="52" t="str">
        <x:v>Chuyển sang thiết lập bãi đỗ, không còn CONTACT_EXISTS</x:v>
      </x:c>
      <x:c r="H27" s="52" t="str">
        <x:v>EV-E2E-01</x:v>
      </x:c>
      <x:c r="I27" s="61" t="str">
        <x:v>PASS</x:v>
      </x:c>
      <x:c r="J27" s="52" t="str">
        <x:v>Test positive; chỉ dùng dữ liệu QA</x:v>
      </x:c>
      <x:c r="K27" s="67" t="str">
        <x:v>CURRENT SHA</x:v>
      </x:c>
    </x:row>
    <x:row r="28" ht="72" customHeight="1">
      <x:c r="A28" s="54" t="str">
        <x:v>PR9-E2E-02</x:v>
      </x:c>
      <x:c r="B28" s="56" t="str">
        <x:v>E2E / Lot setup</x:v>
      </x:c>
      <x:c r="C28" s="52" t="str">
        <x:v>05e2976d</x:v>
      </x:c>
      <x:c r="D28" s="52" t="str">
        <x:v>Đăng ký Owner QA đã tạo bước đầu</x:v>
      </x:c>
      <x:c r="E28" s="52" t="str">
        <x:v>Outdoor Lot; Structure; Devices; Pricing &amp; Policy; Confirm; Save</x:v>
      </x:c>
      <x:c r="F28" s="52" t="str">
        <x:v>Lot được lưu, chuyển sang verify email</x:v>
      </x:c>
      <x:c r="G28" s="52" t="str">
        <x:v>Thông báo lot setup saved và form verification xuất hiện</x:v>
      </x:c>
      <x:c r="H28" s="52" t="str">
        <x:v>EV-E2E-01</x:v>
      </x:c>
      <x:c r="I28" s="61" t="str">
        <x:v>PASS</x:v>
      </x:c>
      <x:c r="J28" s="52" t="str">
        <x:v>Lot name PR9 QA SMTP Test Lot, 20 planned slots</x:v>
      </x:c>
      <x:c r="K28" s="67" t="str">
        <x:v>CURRENT SHA</x:v>
      </x:c>
    </x:row>
    <x:row r="29" ht="72" customHeight="1">
      <x:c r="A29" s="54" t="str">
        <x:v>PR9-E2E-03</x:v>
      </x:c>
      <x:c r="B29" s="56" t="str">
        <x:v>E2E / Real OTP email</x:v>
      </x:c>
      <x:c r="C29" s="52" t="str">
        <x:v>05e2976d</x:v>
      </x:c>
      <x:c r="D29" s="52" t="str">
        <x:v>UserService SMTP Gmail qtang... &amp; recipient QA</x:v>
      </x:c>
      <x:c r="E29" s="52" t="str">
        <x:v>Submit setup; mở Gmail của người nhận</x:v>
      </x:c>
      <x:c r="F29" s="52" t="str">
        <x:v>OTP thật vào Inbox</x:v>
      </x:c>
      <x:c r="G29" s="52" t="str">
        <x:v>SmartPark verification nhận lúc 17:30, từ Gmail thay thế</x:v>
      </x:c>
      <x:c r="H29" s="52" t="str">
        <x:v>EV-E2E-02</x:v>
      </x:c>
      <x:c r="I29" s="61" t="str">
        <x:v>PASS</x:v>
      </x:c>
      <x:c r="J29" s="52" t="str">
        <x:v>OTP đã che trong Word; không lưu mã</x:v>
      </x:c>
      <x:c r="K29" s="67" t="str">
        <x:v>CURRENT SHA</x:v>
      </x:c>
    </x:row>
    <x:row r="30" ht="72" customHeight="1">
      <x:c r="A30" s="54" t="str">
        <x:v>PR9-E2E-04</x:v>
      </x:c>
      <x:c r="B30" s="56" t="str">
        <x:v>E2E / OTP verify</x:v>
      </x:c>
      <x:c r="C30" s="52" t="str">
        <x:v>05e2976d</x:v>
      </x:c>
      <x:c r="D30" s="52" t="str">
        <x:v>Có OTP Gmail thật còn hiệu lực</x:v>
      </x:c>
      <x:c r="E30" s="52" t="str">
        <x:v>Nhập OTP trong Verification UI và Verify</x:v>
      </x:c>
      <x:c r="F30" s="52" t="str">
        <x:v>Email verified; application submitted</x:v>
      </x:c>
      <x:c r="G30" s="52" t="str">
        <x:v>Trang Application Submitted; under Admin review</x:v>
      </x:c>
      <x:c r="H30" s="52" t="str">
        <x:v>EV-E2E-03</x:v>
      </x:c>
      <x:c r="I30" s="61" t="str">
        <x:v>PASS</x:v>
      </x:c>
      <x:c r="J30" s="52" t="str">
        <x:v>Positive OTP; negative/expired chưa test mới</x:v>
      </x:c>
      <x:c r="K30" s="67" t="str">
        <x:v>CURRENT SHA</x:v>
      </x:c>
    </x:row>
    <x:row r="31" ht="72" customHeight="1">
      <x:c r="A31" s="54" t="str">
        <x:v>PR9-E2E-05</x:v>
      </x:c>
      <x:c r="B31" s="56" t="str">
        <x:v>E2E / Admin pending</x:v>
      </x:c>
      <x:c r="C31" s="52" t="str">
        <x:v>05e2976d</x:v>
      </x:c>
      <x:c r="D31" s="52" t="str">
        <x:v>Admin QA signed in</x:v>
      </x:c>
      <x:c r="E31" s="52" t="str">
        <x:v>Owner Partnership Applications &gt; Refresh</x:v>
      </x:c>
      <x:c r="F31" s="52" t="str">
        <x:v>Hồ sơ verified xuất hiện Pending</x:v>
      </x:c>
      <x:c r="G31" s="52" t="str">
        <x:v>Pending Review (1); contact Verified, lot chính xác</x:v>
      </x:c>
      <x:c r="H31" s="52" t="str">
        <x:v>EV-E2E-04</x:v>
      </x:c>
      <x:c r="I31" s="61" t="str">
        <x:v>PASS</x:v>
      </x:c>
      <x:c r="J31" s="52" t="str">
        <x:v>Không duyệt hồ sơ khác</x:v>
      </x:c>
      <x:c r="K31" s="67" t="str">
        <x:v>CURRENT SHA</x:v>
      </x:c>
    </x:row>
    <x:row r="32" ht="72" customHeight="1">
      <x:c r="A32" s="54" t="str">
        <x:v>PR9-E2E-06</x:v>
      </x:c>
      <x:c r="B32" s="56" t="str">
        <x:v>E2E / Approve</x:v>
      </x:c>
      <x:c r="C32" s="52" t="str">
        <x:v>05e2976d</x:v>
      </x:c>
      <x:c r="D32" s="52" t="str">
        <x:v>Hồ sơ QA đang Pending Review</x:v>
      </x:c>
      <x:c r="E32" s="52" t="str">
        <x:v>Nhập review note QA; click Approve một lần</x:v>
      </x:c>
      <x:c r="F32" s="52" t="str">
        <x:v>Owner chuyển APPROVED</x:v>
      </x:c>
      <x:c r="G32" s="52" t="str">
        <x:v>Mục Previously Reviewed hiển thị APPROVED</x:v>
      </x:c>
      <x:c r="H32" s="52" t="str">
        <x:v>EV-E2E-05</x:v>
      </x:c>
      <x:c r="I32" s="61" t="str">
        <x:v>PASS</x:v>
      </x:c>
      <x:c r="J32" s="52" t="str">
        <x:v>Không lặp thao tác; approval 1 lần</x:v>
      </x:c>
      <x:c r="K32" s="67" t="str">
        <x:v>CURRENT SHA</x:v>
      </x:c>
    </x:row>
    <x:row r="33" ht="72" customHeight="1">
      <x:c r="A33" s="54" t="str">
        <x:v>PR9-E2E-07</x:v>
      </x:c>
      <x:c r="B33" s="56" t="str">
        <x:v>E2E / Workflow delivery</x:v>
      </x:c>
      <x:c r="C33" s="52" t="str">
        <x:v>05e2976d</x:v>
      </x:c>
      <x:c r="D33" s="52" t="str">
        <x:v>Owner approved; UserService background worker chạy</x:v>
      </x:c>
      <x:c r="E33" s="52" t="str">
        <x:v>Refresh Admin applications; xem Notification status</x:v>
      </x:c>
      <x:c r="F33" s="52" t="str">
        <x:v>Pending → Sent</x:v>
      </x:c>
      <x:c r="G33" s="52" t="str">
        <x:v>Dòng hồ sơ mới từ pending chuyển sent</x:v>
      </x:c>
      <x:c r="H33" s="52" t="str">
        <x:v>EV-E2E-05</x:v>
      </x:c>
      <x:c r="I33" s="61" t="str">
        <x:v>PASS</x:v>
      </x:c>
      <x:c r="J33" s="52" t="str">
        <x:v>Status lưu của workflow; cần email nhận để chốt</x:v>
      </x:c>
      <x:c r="K33" s="67" t="str">
        <x:v>CURRENT SHA</x:v>
      </x:c>
    </x:row>
    <x:row r="34" ht="72" customHeight="1">
      <x:c r="A34" s="54" t="str">
        <x:v>PR9-E2E-08</x:v>
      </x:c>
      <x:c r="B34" s="56" t="str">
        <x:v>E2E / Approval email</x:v>
      </x:c>
      <x:c r="C34" s="52" t="str">
        <x:v>05e2976d</x:v>
      </x:c>
      <x:c r="D34" s="52" t="str">
        <x:v>Notification sent; người nhận có Inbox</x:v>
      </x:c>
      <x:c r="E34" s="52" t="str">
        <x:v>Kiểm tra Gmail nhận</x:v>
      </x:c>
      <x:c r="F34" s="52" t="str">
        <x:v>Nhận email kết quả APPROVED</x:v>
      </x:c>
      <x:c r="G34" s="52" t="str">
        <x:v>SmartPark application decision 17:33; 'Your application is approved.'</x:v>
      </x:c>
      <x:c r="H34" s="52" t="str">
        <x:v>EV-E2E-06</x:v>
      </x:c>
      <x:c r="I34" s="61" t="str">
        <x:v>PASS</x:v>
      </x:c>
      <x:c r="J34" s="52" t="str">
        <x:v>Delivery tới Inbox xác minh bằng ảnh</x:v>
      </x:c>
      <x:c r="K34" s="67" t="str">
        <x:v>CURRENT SHA</x:v>
      </x:c>
    </x:row>
    <x:row r="35" ht="72" customHeight="1">
      <x:c r="A35" s="54" t="str">
        <x:v>PR9-E2E-09</x:v>
      </x:c>
      <x:c r="B35" s="56" t="str">
        <x:v>E2E / Owner sign-in</x:v>
      </x:c>
      <x:c r="C35" s="52" t="str">
        <x:v>05e2976d</x:v>
      </x:c>
      <x:c r="D35" s="52" t="str">
        <x:v>Owner QA mới APPROVED</x:v>
      </x:c>
      <x:c r="E35" s="52" t="str">
        <x:v>Sign In bằng account QA</x:v>
      </x:c>
      <x:c r="F35" s="52" t="str">
        <x:v>Cho truy cập Owner Dashboard</x:v>
      </x:c>
      <x:c r="G35" s="52" t="str">
        <x:v>Owner Overview hiển thị tài khoản QA</x:v>
      </x:c>
      <x:c r="H35" s="52" t="str">
        <x:v>EV-E2E-07</x:v>
      </x:c>
      <x:c r="I35" s="61" t="str">
        <x:v>PASS</x:v>
      </x:c>
      <x:c r="J35" s="52" t="str">
        <x:v>Không công bố mật khẩu</x:v>
      </x:c>
      <x:c r="K35" s="67" t="str">
        <x:v>CURRENT SHA</x:v>
      </x:c>
    </x:row>
    <x:row r="36" ht="72" customHeight="1">
      <x:c r="A36" s="54" t="str">
        <x:v>PR9-E2E-10</x:v>
      </x:c>
      <x:c r="B36" s="56" t="str">
        <x:v>E2E / Assigned site</x:v>
      </x:c>
      <x:c r="C36" s="52" t="str">
        <x:v>05e2976d</x:v>
      </x:c>
      <x:c r="D36" s="52" t="str">
        <x:v>Owner đã đăng nhập</x:v>
      </x:c>
      <x:c r="E36" s="52" t="str">
        <x:v>Mở Site filter, chọn PR9 QA SMTP Test Lot</x:v>
      </x:c>
      <x:c r="F36" s="52" t="str">
        <x:v>Chỉ site của Owner được hiển thị</x:v>
      </x:c>
      <x:c r="G36" s="52" t="str">
        <x:v>Filtered site view; site có trong dropdown</x:v>
      </x:c>
      <x:c r="H36" s="52" t="str">
        <x:v>EV-E2E-08</x:v>
      </x:c>
      <x:c r="I36" s="61" t="str">
        <x:v>PASS</x:v>
      </x:c>
      <x:c r="J36" s="52" t="str">
        <x:v>Capacity 0 phụ thuộc physical layout</x:v>
      </x:c>
      <x:c r="K36" s="67" t="str">
        <x:v>CURRENT SHA</x:v>
      </x:c>
    </x:row>
    <x:row r="37" ht="72" customHeight="1">
      <x:c r="A37" s="54" t="str">
        <x:v>PR9-SMTP-01</x:v>
      </x:c>
      <x:c r="B37" s="56" t="str">
        <x:v>SMTP / Other Gmail</x:v>
      </x:c>
      <x:c r="C37" s="52" t="str">
        <x:v>05e2976d</x:v>
      </x:c>
      <x:c r="D37" s="52" t="str">
        <x:v>App Password từ đúng Gmail thay thế, .env &amp; User Secrets đã sync</x:v>
      </x:c>
      <x:c r="E37" s="52" t="str">
        <x:v>STARTTLS, AUTH PLAIN, SMTP Send</x:v>
      </x:c>
      <x:c r="F37" s="52" t="str">
        <x:v>Xác thực, gửi thư thành công</x:v>
      </x:c>
      <x:c r="G37" s="52" t="str">
        <x:v>AUTH 235 PASS; SEND PASS; Inbox nhận</x:v>
      </x:c>
      <x:c r="H37" s="52" t="str">
        <x:v>EV-SMTP-01</x:v>
      </x:c>
      <x:c r="I37" s="61" t="str">
        <x:v>PASS</x:v>
      </x:c>
      <x:c r="J37" s="52" t="str">
        <x:v>SMTP đối chứng + E2E thực tế, không phải shared Gmail cũ</x:v>
      </x:c>
      <x:c r="K37" s="67" t="str">
        <x:v>CURRENT SHA</x:v>
      </x:c>
    </x:row>
    <x:row r="38" ht="72" customHeight="1">
      <x:c r="A38" s="54" t="str">
        <x:v>PR9-SMTP-02</x:v>
      </x:c>
      <x:c r="B38" s="56" t="str">
        <x:v>SMTP / Shared Gmail</x:v>
      </x:c>
      <x:c r="C38" s="52" t="str">
        <x:v>05e2976d</x:v>
      </x:c>
      <x:c r="D38" s="52" t="str">
        <x:v>Gmail support.* App Password mới; TLS PASS</x:v>
      </x:c>
      <x:c r="E38" s="52" t="str">
        <x:v>AUTH PLAIN sau STARTTLS</x:v>
      </x:c>
      <x:c r="F38" s="52" t="str">
        <x:v>Gmail chấp nhận credential</x:v>
      </x:c>
      <x:c r="G38" s="52" t="str">
        <x:v>Gmail trả 535; chưa có mail từ tài khoản này</x:v>
      </x:c>
      <x:c r="H38" s="52" t="str">
        <x:v>EV-SMTP-02</x:v>
      </x:c>
      <x:c r="I38" s="85" t="str">
        <x:v>FAIL - EXTERNAL</x:v>
      </x:c>
      <x:c r="J38" s="52" t="str">
        <x:v>Account/credentials; không suy ra workflow code lỗi</x:v>
      </x:c>
      <x:c r="K38" s="67" t="str">
        <x:v>CURRENT SHA</x:v>
      </x:c>
    </x:row>
    <x:row r="39" ht="72" customHeight="1">
      <x:c r="A39" s="54" t="str">
        <x:v>PR9-NEG-01</x:v>
      </x:c>
      <x:c r="B39" s="56" t="str">
        <x:v>Negative / Duplicate contact</x:v>
      </x:c>
      <x:c r="C39" s="52" t="str">
        <x:v>05e2976d</x:v>
      </x:c>
      <x:c r="D39" s="52" t="str">
        <x:v>Email hoặc phone đã đăng ký</x:v>
      </x:c>
      <x:c r="E39" s="52" t="str">
        <x:v>Thử đăng ký với contact trùng</x:v>
      </x:c>
      <x:c r="F39" s="52" t="str">
        <x:v>HTTP 409 / cảnh báo contact duplicate</x:v>
      </x:c>
      <x:c r="G39" s="52" t="str">
        <x:v>Debugger AuthException 'Email or phone is already registered'</x:v>
      </x:c>
      <x:c r="H39" s="52" t="str">
        <x:v>EV-E2E-NEG</x:v>
      </x:c>
      <x:c r="I39" s="73" t="str">
        <x:v>OBSERVED</x:v>
      </x:c>
      <x:c r="J39" s="52" t="str">
        <x:v>Chưa lưu HTTP response đầy đủ; không đánh PASS end-to-end</x:v>
      </x:c>
      <x:c r="K39" s="67" t="str">
        <x:v>CURRENT SHA</x:v>
      </x:c>
    </x:row>
  </x:sheetData>
  <x:mergeCells>
    <x:mergeCell ref="A1:K2"/>
    <x:mergeCell ref="A3:K3"/>
  </x:mergeCells>
  <x:pageMargins left="0.7" right="0.7" top="0.75" bottom="0.75" header="0.3" footer="0.3"/>
  <x:tableParts count="1">
    <x:tablePart xmlns:r="http://schemas.openxmlformats.org/officeDocument/2006/relationships" r:id="R6515b408205748de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9" hidden="0" customWidth="1"/>
    <x:col min="2" max="2" width="22" hidden="0" customWidth="1"/>
    <x:col min="3" max="3" width="13" hidden="0" customWidth="1"/>
    <x:col min="4" max="4" width="57" hidden="0" customWidth="1"/>
    <x:col min="5" max="5" width="31" hidden="0" customWidth="1"/>
    <x:col min="6" max="6" width="49" hidden="0" customWidth="1"/>
    <x:col min="7" max="7" width="45" hidden="0" customWidth="1"/>
    <x:col min="8" max="8" width="26" hidden="0" customWidth="1"/>
  </x:cols>
  <x:sheetData>
    <x:row r="1" ht="27" customHeight="1">
      <x:c r="A1" s="4" t="str">
        <x:v>PR #9  |  OPEN ITEMS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3" ht="23" customHeight="1">
      <x:c r="A3" s="10" t="str">
        <x:v>Phân biệt defect đã xác minh, integration credential và coverage gap; không quy lỗi code khi chưa đủ chứng cứ</x:v>
      </x:c>
      <x:c r="B3" s="10"/>
      <x:c r="C3" s="10"/>
      <x:c r="D3" s="10"/>
      <x:c r="E3" s="10"/>
      <x:c r="F3" s="10"/>
      <x:c r="G3" s="10"/>
      <x:c r="H3" s="10"/>
    </x:row>
    <x:row r="4" ht="12" customHeight="1"/>
    <x:row r="6" ht="35" customHeight="1">
      <x:c r="A6" s="48" t="str">
        <x:v>ID</x:v>
      </x:c>
      <x:c r="B6" s="48" t="str">
        <x:v>Phân loại</x:v>
      </x:c>
      <x:c r="C6" s="48" t="str">
        <x:v>Mức độ</x:v>
      </x:c>
      <x:c r="D6" s="48" t="str">
        <x:v>Vấn đề / hiện trạng</x:v>
      </x:c>
      <x:c r="E6" s="48" t="str">
        <x:v>Bằng chứng</x:v>
      </x:c>
      <x:c r="F6" s="48" t="str">
        <x:v>Nhận định QA</x:v>
      </x:c>
      <x:c r="G6" s="48" t="str">
        <x:v>Hành động / Owner</x:v>
      </x:c>
      <x:c r="H6" s="48" t="str">
        <x:v>Status</x:v>
      </x:c>
    </x:row>
    <x:row r="7" ht="88" customHeight="1">
      <x:c r="A7" s="90" t="str">
        <x:v>ISS-01</x:v>
      </x:c>
      <x:c r="B7" s="90" t="str">
        <x:v>SMTP / external</x:v>
      </x:c>
      <x:c r="C7" s="90" t="str">
        <x:v>High</x:v>
      </x:c>
      <x:c r="D7" s="90" t="str">
        <x:v>Gmail support.smartparkingvn@gmail.com vẫn reject App Password mới (535). Gmail qtang... PASS, E2E PASS.</x:v>
      </x:c>
      <x:c r="E7" s="90" t="str">
        <x:v>AUTH 535; AUTH 235 đối chứng</x:v>
      </x:c>
      <x:c r="F7" s="90" t="str">
        <x:v>Tài khoản cũ có vấn đề xác thực; chưa đủ căn cứ lỗi code.</x:v>
      </x:c>
      <x:c r="G7" s="90" t="str">
        <x:v>Người quản lý Gmail cũ kiểm tra App Password/chính sách account.</x:v>
      </x:c>
      <x:c r="H7" s="90" t="str">
        <x:v>OPEN - EXTERNAL</x:v>
      </x:c>
    </x:row>
    <x:row r="8" ht="88" customHeight="1">
      <x:c r="A8" s="90" t="str">
        <x:v>GAP-02</x:v>
      </x:c>
      <x:c r="B8" s="90" t="str">
        <x:v>Security / token</x:v>
      </x:c>
      <x:c r="C8" s="90" t="str">
        <x:v>Medium</x:v>
      </x:c>
      <x:c r="D8" s="90" t="str">
        <x:v>Logout UI trước đó PASS, nhưng chưa thử API với access/refresh token đã logout.</x:v>
      </x:c>
      <x:c r="E8" s="90" t="str">
        <x:v>EV-LOGOUT-OLD</x:v>
      </x:c>
      <x:c r="F8" s="90" t="str">
        <x:v>Không đánh dấu server-side revocation PASS.</x:v>
      </x:c>
      <x:c r="G8" s="90" t="str">
        <x:v>QA/Dev quyết định gate; bổ sung API 401 / refresh fail nếu scope yêu cầu.</x:v>
      </x:c>
      <x:c r="H8" s="90" t="str">
        <x:v>NOT TESTED</x:v>
      </x:c>
    </x:row>
    <x:row r="9" ht="88" customHeight="1">
      <x:c r="A9" s="90" t="str">
        <x:v>GAP-03</x:v>
      </x:c>
      <x:c r="B9" s="90" t="str">
        <x:v>FE regression</x:v>
      </x:c>
      <x:c r="C9" s="90" t="str">
        <x:v>Medium</x:v>
      </x:c>
      <x:c r="D9" s="90" t="str">
        <x:v>Các luồng Driver/Operator thay đổi rộng chưa regression E2E trong vòng này.</x:v>
      </x:c>
      <x:c r="E9" s="90" t="str">
        <x:v>Previous diff / regression matrix</x:v>
      </x:c>
      <x:c r="F9" s="90" t="str">
        <x:v>Chỉ Owner/Admin &amp; form smoke đã xác minh.</x:v>
      </x:c>
      <x:c r="G9" s="90" t="str">
        <x:v>Leader phân scope và hồi quy theo risk.</x:v>
      </x:c>
      <x:c r="H9" s="90" t="str">
        <x:v>NOT RETESTED</x:v>
      </x:c>
    </x:row>
    <x:row r="10" ht="88" customHeight="1">
      <x:c r="A10" s="90" t="str">
        <x:v>GAP-04</x:v>
      </x:c>
      <x:c r="B10" s="90" t="str">
        <x:v>OTP negative</x:v>
      </x:c>
      <x:c r="C10" s="90" t="str">
        <x:v>Medium</x:v>
      </x:c>
      <x:c r="D10" s="90" t="str">
        <x:v>OTP sai/hết hạn/resend trên FE HEAD hiện tại chưa được kiểm thử lại.</x:v>
      </x:c>
      <x:c r="E10" s="90" t="str">
        <x:v>Historical HTTP08, current positive OTP</x:v>
      </x:c>
      <x:c r="F10" s="90" t="str">
        <x:v>Positive OTP E2E đã PASS, không có bằng chứng mới cho negative.</x:v>
      </x:c>
      <x:c r="G10" s="90" t="str">
        <x:v>Targeted test nếu release gate yêu cầu.</x:v>
      </x:c>
      <x:c r="H10" s="90" t="str">
        <x:v>NOT RETESTED</x:v>
      </x:c>
    </x:row>
    <x:row r="11" ht="88" customHeight="1">
      <x:c r="A11" s="90" t="str">
        <x:v>OBS-01</x:v>
      </x:c>
      <x:c r="B11" s="90" t="str">
        <x:v>Capacity physical</x:v>
      </x:c>
      <x:c r="C11" s="90" t="str">
        <x:v>Low</x:v>
      </x:c>
      <x:c r="D11" s="90" t="str">
        <x:v>Đăng ký 20 planned slots, Owner Dashboard Capacity=0.</x:v>
      </x:c>
      <x:c r="E11" s="90" t="str">
        <x:v>EV-E2E-08 / Owner Dashboard</x:v>
      </x:c>
      <x:c r="F11" s="90" t="str">
        <x:v>Khả năng do physical layout chưa khai báo; chưa xác định bug.</x:v>
      </x:c>
      <x:c r="G11" s="90" t="str">
        <x:v>Đối chiếu contract planned/physical slots khi cần.</x:v>
      </x:c>
      <x:c r="H11" s="90" t="str">
        <x:v>NEEDS CLARIFICATION</x:v>
      </x:c>
    </x:row>
    <x:row r="12" ht="88" customHeight="1">
      <x:c r="A12" s="90" t="str">
        <x:v>OBS-02</x:v>
      </x:c>
      <x:c r="B12" s="90" t="str">
        <x:v>QA test data</x:v>
      </x:c>
      <x:c r="C12" s="90" t="str">
        <x:v>Info</x:v>
      </x:c>
      <x:c r="D12" s="90" t="str">
        <x:v>Contact Person / Business Name trong ảnh signup được nhập giống email test.</x:v>
      </x:c>
      <x:c r="E12" s="90" t="str">
        <x:v>Screenshot signup original</x:v>
      </x:c>
      <x:c r="F12" s="90" t="str">
        <x:v>Chất lượng dữ liệu QA; không phải product defect được xác minh.</x:v>
      </x:c>
      <x:c r="G12" s="90" t="str">
        <x:v>Không đưa vào dữ liệu demo chính thức; sửa tên nếu bài test sau yêu cầu.</x:v>
      </x:c>
      <x:c r="H12" s="90" t="str">
        <x:v>INFO</x:v>
      </x:c>
    </x:row>
    <x:row r="13" ht="88" customHeight="1">
      <x:c r="A13" s="90" t="str">
        <x:v>CLOSED-01</x:v>
      </x:c>
      <x:c r="B13" s="90" t="str">
        <x:v>SMTP alternative</x:v>
      </x:c>
      <x:c r="C13" s="90" t="str">
        <x:v>Resolved</x:v>
      </x:c>
      <x:c r="D13" s="90" t="str">
        <x:v>Gmail thay thế qtang... chạy xác thực / gửi mail và E2E email quyết định thành công.</x:v>
      </x:c>
      <x:c r="E13" s="90" t="str">
        <x:v>EV-E2E-02/06</x:v>
      </x:c>
      <x:c r="F13" s="90" t="str">
        <x:v>Positive delivery via Backend VERIFIED.</x:v>
      </x:c>
      <x:c r="G13" s="90" t="str">
        <x:v>Giữ SMTP account theo cấu hình do nhóm phê duyệt.</x:v>
      </x:c>
      <x:c r="H13" s="90" t="str">
        <x:v>VERIFIED</x:v>
      </x:c>
    </x:row>
    <x:row r="14" ht="88" customHeight="1">
      <x:c r="A14" s="90" t="str">
        <x:v>CLOSED-02</x:v>
      </x:c>
      <x:c r="B14" s="90" t="str">
        <x:v>Old FE syntax issue</x:v>
      </x:c>
      <x:c r="C14" s="90" t="str">
        <x:v>Resolved</x:v>
      </x:c>
      <x:c r="D14" s="90" t="str">
        <x:v>Vite Unexpected token finally trên SHA cũ; build SHA 05e2976d PASS.</x:v>
      </x:c>
      <x:c r="E14" s="90" t="str">
        <x:v>EV-FE-01</x:v>
      </x:c>
      <x:c r="F14" s="90" t="str">
        <x:v>Chỉ giữ làm lịch sử, không phải blocker hiện tại.</x:v>
      </x:c>
      <x:c r="G14" s="90" t="str">
        <x:v>Không mở lại trừ khi tái xuất hiện.</x:v>
      </x:c>
      <x:c r="H14" s="90" t="str">
        <x:v>CLOSED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97ca12df17834a0e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54" hidden="0" customWidth="1"/>
    <x:col min="4" max="4" width="17" hidden="0" customWidth="1"/>
    <x:col min="5" max="5" width="54" hidden="0" customWidth="1"/>
    <x:col min="6" max="6" width="21" hidden="0" customWidth="1"/>
    <x:col min="7" max="7" width="49" hidden="0" customWidth="1"/>
    <x:col min="8" max="8" width="20" hidden="0" customWidth="1"/>
  </x:cols>
  <x:sheetData>
    <x:row r="1" ht="27" customHeight="1">
      <x:c r="A1" s="4" t="str">
        <x:v>PR #9  |  EVIDENCE INDEX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3" ht="23" customHeight="1">
      <x:c r="A3" s="10" t="str">
        <x:v>Ảnh mới đã nhúng vào báo cáo Word; OTP được che trước khi đưa vào tài liệu nộp</x:v>
      </x:c>
      <x:c r="B3" s="10"/>
      <x:c r="C3" s="10"/>
      <x:c r="D3" s="10"/>
      <x:c r="E3" s="10"/>
      <x:c r="F3" s="10"/>
      <x:c r="G3" s="10"/>
      <x:c r="H3" s="10"/>
    </x:row>
    <x:row r="4" ht="12" customHeight="1"/>
    <x:row r="6" ht="35" customHeight="1">
      <x:c r="A6" s="48" t="str">
        <x:v>ID</x:v>
      </x:c>
      <x:c r="B6" s="48" t="str">
        <x:v>Loại</x:v>
      </x:c>
      <x:c r="C6" s="48" t="str">
        <x:v>Nguồn / Screenshot</x:v>
      </x:c>
      <x:c r="D6" s="48" t="str">
        <x:v>SHA</x:v>
      </x:c>
      <x:c r="E6" s="48" t="str">
        <x:v>Xác minh</x:v>
      </x:c>
      <x:c r="F6" s="48" t="str">
        <x:v>Tình trạng</x:v>
      </x:c>
      <x:c r="G6" s="48" t="str">
        <x:v>Lưu ý</x:v>
      </x:c>
      <x:c r="H6" s="48" t="str">
        <x:v>Đối chiếu Word</x:v>
      </x:c>
    </x:row>
    <x:row r="7" ht="65" customHeight="1">
      <x:c r="A7" s="90" t="str">
        <x:v>EV-AUTO-01</x:v>
      </x:c>
      <x:c r="B7" s="90" t="str">
        <x:v>Console</x:v>
      </x:c>
      <x:c r="C7" s="90" t="str">
        <x:v>dotnet test SmartParking.slnx</x:v>
      </x:c>
      <x:c r="D7" s="90" t="str">
        <x:v>05e2976d</x:v>
      </x:c>
      <x:c r="E7" s="90" t="str">
        <x:v>167 succeeded, 0 failed, 0 skipped</x:v>
      </x:c>
      <x:c r="F7" s="90" t="str">
        <x:v>VERIFIED</x:v>
      </x:c>
      <x:c r="G7" s="90" t="str">
        <x:v>Không có TRX mới được nộp kèm</x:v>
      </x:c>
      <x:c r="H7" s="90" t="str">
        <x:v>Trang kết quả</x:v>
      </x:c>
    </x:row>
    <x:row r="8" ht="65" customHeight="1">
      <x:c r="A8" s="90" t="str">
        <x:v>EV-FE-01</x:v>
      </x:c>
      <x:c r="B8" s="90" t="str">
        <x:v>Console</x:v>
      </x:c>
      <x:c r="C8" s="90" t="str">
        <x:v>npm run build</x:v>
      </x:c>
      <x:c r="D8" s="90" t="str">
        <x:v>05e2976d</x:v>
      </x:c>
      <x:c r="E8" s="90" t="str">
        <x:v>779 modules, exit 0</x:v>
      </x:c>
      <x:c r="F8" s="90" t="str">
        <x:v>VERIFIED</x:v>
      </x:c>
      <x:c r="G8" s="90" t="str">
        <x:v>Warning bundle &gt;500 kB</x:v>
      </x:c>
      <x:c r="H8" s="90" t="str">
        <x:v>Trang kết quả</x:v>
      </x:c>
    </x:row>
    <x:row r="9" ht="65" customHeight="1">
      <x:c r="A9" s="90" t="str">
        <x:v>EV-BE-01</x:v>
      </x:c>
      <x:c r="B9" s="90" t="str">
        <x:v>PNG</x:v>
      </x:c>
      <x:c r="C9" s="90" t="str">
        <x:v>image(20261022-100423).png</x:v>
      </x:c>
      <x:c r="D9" s="90" t="str">
        <x:v>05e2976d</x:v>
      </x:c>
      <x:c r="E9" s="90" t="str">
        <x:v>User 5035, Facility 5045, Reservation 5055</x:v>
      </x:c>
      <x:c r="F9" s="90" t="str">
        <x:v>VERIFIED</x:v>
      </x:c>
      <x:c r="G9" s="90" t="str">
        <x:v>Ảnh Backend startup</x:v>
      </x:c>
      <x:c r="H9" s="90" t="str">
        <x:v>Phụ lục</x:v>
      </x:c>
    </x:row>
    <x:row r="10" ht="65" customHeight="1">
      <x:c r="A10" s="90" t="str">
        <x:v>EV-E2E-01</x:v>
      </x:c>
      <x:c r="B10" s="90" t="str">
        <x:v>PNG</x:v>
      </x:c>
      <x:c r="C10" s="90" t="str">
        <x:v>image(20261022-103050).png</x:v>
      </x:c>
      <x:c r="D10" s="90" t="str">
        <x:v>05e2976d</x:v>
      </x:c>
      <x:c r="E10" s="90" t="str">
        <x:v>Sau lot setup: Verify email form</x:v>
      </x:c>
      <x:c r="F10" s="90" t="str">
        <x:v>VERIFIED</x:v>
      </x:c>
      <x:c r="G10" s="90" t="str">
        <x:v>QA email alias</x:v>
      </x:c>
      <x:c r="H10" s="90" t="str">
        <x:v>Phụ lục</x:v>
      </x:c>
    </x:row>
    <x:row r="11" ht="65" customHeight="1">
      <x:c r="A11" s="90" t="str">
        <x:v>EV-E2E-02</x:v>
      </x:c>
      <x:c r="B11" s="90" t="str">
        <x:v>PNG / redacted</x:v>
      </x:c>
      <x:c r="C11" s="90" t="str">
        <x:v>image(20261022-103106).png</x:v>
      </x:c>
      <x:c r="D11" s="90" t="str">
        <x:v>05e2976d</x:v>
      </x:c>
      <x:c r="E11" s="90" t="str">
        <x:v>OTP thật trong Inbox, sender qtang...</x:v>
      </x:c>
      <x:c r="F11" s="90" t="str">
        <x:v>VERIFIED</x:v>
      </x:c>
      <x:c r="G11" s="90" t="str">
        <x:v>OTP đã che bản Word, không công khai mã</x:v>
      </x:c>
      <x:c r="H11" s="90" t="str">
        <x:v>Phụ lục</x:v>
      </x:c>
    </x:row>
    <x:row r="12" ht="65" customHeight="1">
      <x:c r="A12" s="90" t="str">
        <x:v>EV-E2E-03</x:v>
      </x:c>
      <x:c r="B12" s="90" t="str">
        <x:v>PNG</x:v>
      </x:c>
      <x:c r="C12" s="90" t="str">
        <x:v>image(20261022-103121).png</x:v>
      </x:c>
      <x:c r="D12" s="90" t="str">
        <x:v>05e2976d</x:v>
      </x:c>
      <x:c r="E12" s="90" t="str">
        <x:v>Application Submitted → under Admin review</x:v>
      </x:c>
      <x:c r="F12" s="90" t="str">
        <x:v>VERIFIED</x:v>
      </x:c>
      <x:c r="G12" s="90" t="str">
        <x:v>OTP positive verified</x:v>
      </x:c>
      <x:c r="H12" s="90" t="str">
        <x:v>Phụ lục</x:v>
      </x:c>
    </x:row>
    <x:row r="13" ht="65" customHeight="1">
      <x:c r="A13" s="90" t="str">
        <x:v>EV-E2E-04</x:v>
      </x:c>
      <x:c r="B13" s="90" t="str">
        <x:v>PNG</x:v>
      </x:c>
      <x:c r="C13" s="90" t="str">
        <x:v>image(20261022-103232).png</x:v>
      </x:c>
      <x:c r="D13" s="90" t="str">
        <x:v>05e2976d</x:v>
      </x:c>
      <x:c r="E13" s="90" t="str">
        <x:v>Pending Review 1; contacts Verified</x:v>
      </x:c>
      <x:c r="F13" s="90" t="str">
        <x:v>VERIFIED</x:v>
      </x:c>
      <x:c r="G13" s="90" t="str">
        <x:v>Chỉ hồ sơ QA</x:v>
      </x:c>
      <x:c r="H13" s="90" t="str">
        <x:v>Phụ lục</x:v>
      </x:c>
    </x:row>
    <x:row r="14" ht="65" customHeight="1">
      <x:c r="A14" s="90" t="str">
        <x:v>EV-E2E-05</x:v>
      </x:c>
      <x:c r="B14" s="90" t="str">
        <x:v>PNG</x:v>
      </x:c>
      <x:c r="C14" s="90" t="str">
        <x:v>image(20261022-103325).png + image(20261022-103443).png</x:v>
      </x:c>
      <x:c r="D14" s="90" t="str">
        <x:v>05e2976d</x:v>
      </x:c>
      <x:c r="E14" s="90" t="str">
        <x:v>Approved; Notification pending → sent</x:v>
      </x:c>
      <x:c r="F14" s="90" t="str">
        <x:v>VERIFIED</x:v>
      </x:c>
      <x:c r="G14" s="90" t="str">
        <x:v>Trạng thái backend recorded sent</x:v>
      </x:c>
      <x:c r="H14" s="90" t="str">
        <x:v>Phụ lục</x:v>
      </x:c>
    </x:row>
    <x:row r="15" ht="65" customHeight="1">
      <x:c r="A15" s="90" t="str">
        <x:v>EV-E2E-06</x:v>
      </x:c>
      <x:c r="B15" s="90" t="str">
        <x:v>PNG</x:v>
      </x:c>
      <x:c r="C15" s="90" t="str">
        <x:v>image(20261022-103530).png</x:v>
      </x:c>
      <x:c r="D15" s="90" t="str">
        <x:v>05e2976d</x:v>
      </x:c>
      <x:c r="E15" s="90" t="str">
        <x:v>SmartPark application decision, Inbox 17:33</x:v>
      </x:c>
      <x:c r="F15" s="90" t="str">
        <x:v>VERIFIED</x:v>
      </x:c>
      <x:c r="G15" s="90" t="str">
        <x:v>Your application is approved.</x:v>
      </x:c>
      <x:c r="H15" s="90" t="str">
        <x:v>Phụ lục</x:v>
      </x:c>
    </x:row>
    <x:row r="16" ht="65" customHeight="1">
      <x:c r="A16" s="90" t="str">
        <x:v>EV-E2E-07</x:v>
      </x:c>
      <x:c r="B16" s="90" t="str">
        <x:v>PNG</x:v>
      </x:c>
      <x:c r="C16" s="90" t="str">
        <x:v>image(20261022-103713).png</x:v>
      </x:c>
      <x:c r="D16" s="90" t="str">
        <x:v>05e2976d</x:v>
      </x:c>
      <x:c r="E16" s="90" t="str">
        <x:v>Owner sign-in &amp; Dashboard</x:v>
      </x:c>
      <x:c r="F16" s="90" t="str">
        <x:v>VERIFIED</x:v>
      </x:c>
      <x:c r="G16" s="90" t="str">
        <x:v>Physical capacity 0 observation</x:v>
      </x:c>
      <x:c r="H16" s="90" t="str">
        <x:v>Phụ lục</x:v>
      </x:c>
    </x:row>
    <x:row r="17" ht="65" customHeight="1">
      <x:c r="A17" s="90" t="str">
        <x:v>EV-E2E-08</x:v>
      </x:c>
      <x:c r="B17" s="90" t="str">
        <x:v>PNG</x:v>
      </x:c>
      <x:c r="C17" s="90" t="str">
        <x:v>image(20261022-103810).png</x:v>
      </x:c>
      <x:c r="D17" s="90" t="str">
        <x:v>05e2976d</x:v>
      </x:c>
      <x:c r="E17" s="90" t="str">
        <x:v>Site filter PR9 QA SMTP Test Lot</x:v>
      </x:c>
      <x:c r="F17" s="90" t="str">
        <x:v>VERIFIED</x:v>
      </x:c>
      <x:c r="G17" s="90" t="str">
        <x:v>Site visible to Owner</x:v>
      </x:c>
      <x:c r="H17" s="90" t="str">
        <x:v>Phụ lục</x:v>
      </x:c>
    </x:row>
    <x:row r="18" ht="65" customHeight="1">
      <x:c r="A18" s="90" t="str">
        <x:v>EV-SMTP-01</x:v>
      </x:c>
      <x:c r="B18" s="90" t="str">
        <x:v>Console + PNG</x:v>
      </x:c>
      <x:c r="C18" s="90" t="str">
        <x:v>NEW_GMAIL_SMTP_AUTH=PASS, REAL_GMAIL_SEND=PASS, image(20261022-095906).png</x:v>
      </x:c>
      <x:c r="D18" s="90" t="str">
        <x:v>05e2976d</x:v>
      </x:c>
      <x:c r="E18" s="90" t="str">
        <x:v>SMTP direct real delivery, separate from backend</x:v>
      </x:c>
      <x:c r="F18" s="90" t="str">
        <x:v>VERIFIED</x:v>
      </x:c>
      <x:c r="G18" s="90" t="str">
        <x:v>App Password không được đính kèm</x:v>
      </x:c>
      <x:c r="H18" s="90" t="str">
        <x:v>Bảng tổng hợp</x:v>
      </x:c>
    </x:row>
    <x:row r="19" ht="65" customHeight="1">
      <x:c r="A19" s="90" t="str">
        <x:v>EV-SMTP-02</x:v>
      </x:c>
      <x:c r="B19" s="90" t="str">
        <x:v>Console</x:v>
      </x:c>
      <x:c r="C19" s="90" t="str">
        <x:v>SMTP_AUTH=FAIL_535 (shared account)</x:v>
      </x:c>
      <x:c r="D19" s="90" t="str">
        <x:v>05e2976d</x:v>
      </x:c>
      <x:c r="E19" s="90" t="str">
        <x:v>Gmail chung cũ vẫn reject authentication</x:v>
      </x:c>
      <x:c r="F19" s="90" t="str">
        <x:v>OPEN</x:v>
      </x:c>
      <x:c r="G19" s="90" t="str">
        <x:v>Do not attribute directly to product code</x:v>
      </x:c>
      <x:c r="H19" s="90" t="str">
        <x:v>Bảng risk</x:v>
      </x:c>
    </x:row>
    <x:row r="20" ht="65" customHeight="1">
      <x:c r="A20" s="90" t="str">
        <x:v>EV-E2E-NEG</x:v>
      </x:c>
      <x:c r="B20" s="90" t="str">
        <x:v>VS debugger PNG</x:v>
      </x:c>
      <x:c r="C20" s="90" t="str">
        <x:v>image(20261022-102206).png</x:v>
      </x:c>
      <x:c r="D20" s="90" t="str">
        <x:v>05e2976d</x:v>
      </x:c>
      <x:c r="E20" s="90" t="str">
        <x:v>AuthException contact exists; observed backend guard</x:v>
      </x:c>
      <x:c r="F20" s="90" t="str">
        <x:v>OBSERVED</x:v>
      </x:c>
      <x:c r="G20" s="90" t="str">
        <x:v>Không có HTTP status capture riêng</x:v>
      </x:c>
      <x:c r="H20" s="90" t="str">
        <x:v>TEST_CASES</x:v>
      </x:c>
    </x:row>
    <x:row r="21" ht="65" customHeight="1">
      <x:c r="A21" s="90" t="str">
        <x:v>EV-HIST</x:v>
      </x:c>
      <x:c r="B21" s="90" t="str">
        <x:v>Prior report</x:v>
      </x:c>
      <x:c r="C21" s="90" t="str">
        <x:v>PR9_QA_Report_Update_05e2976d_2026-10-22.pdf</x:v>
      </x:c>
      <x:c r="D21" s="90" t="str">
        <x:v>MULTI</x:v>
      </x:c>
      <x:c r="E21" s="90" t="str">
        <x:v>Prior QA UAT and history</x:v>
      </x:c>
      <x:c r="F21" s="90" t="str">
        <x:v>HISTORICAL</x:v>
      </x:c>
      <x:c r="G21" s="90" t="str">
        <x:v>Không cộng dồn test từ SHA cũ</x:v>
      </x:c>
      <x:c r="H21" s="90" t="str">
        <x:v>HISTORY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59a955fad19748d6"/>
  </x:tableParts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3" hidden="0" customWidth="1"/>
    <x:col min="2" max="2" width="16" hidden="0" customWidth="1"/>
    <x:col min="3" max="3" width="24" hidden="0" customWidth="1"/>
    <x:col min="4" max="4" width="30" hidden="0" customWidth="1"/>
    <x:col min="5" max="5" width="48" hidden="0" customWidth="1"/>
    <x:col min="6" max="6" width="40" hidden="0" customWidth="1"/>
    <x:col min="7" max="7" width="46" hidden="0" customWidth="1"/>
    <x:col min="8" max="8" width="18" hidden="0" customWidth="1"/>
  </x:cols>
  <x:sheetData>
    <x:row r="1" ht="27" customHeight="1">
      <x:c r="A1" s="4" t="str">
        <x:v>PR #9  |  HISTORICAL BASELINES</x:v>
      </x:c>
      <x:c r="B1" s="4"/>
      <x:c r="C1" s="4"/>
      <x:c r="D1" s="4"/>
      <x:c r="E1" s="4"/>
      <x:c r="F1" s="4"/>
      <x:c r="G1" s="4"/>
      <x:c r="H1" s="4"/>
    </x:row>
    <x:row r="2" ht="27" customHeight="1">
      <x:c r="A2" s="4"/>
      <x:c r="B2" s="4"/>
      <x:c r="C2" s="4"/>
      <x:c r="D2" s="4"/>
      <x:c r="E2" s="4"/>
      <x:c r="F2" s="4"/>
      <x:c r="G2" s="4"/>
      <x:c r="H2" s="4"/>
    </x:row>
    <x:row r="3" ht="23" customHeight="1">
      <x:c r="A3" s="10" t="str">
        <x:v>Chỉ tham chiếu các vòng QA trước. KHÔNG cộng dồn số PASS giữa các SHA hoặc gộp vào 167 test hiện tại</x:v>
      </x:c>
      <x:c r="B3" s="10"/>
      <x:c r="C3" s="10"/>
      <x:c r="D3" s="10"/>
      <x:c r="E3" s="10"/>
      <x:c r="F3" s="10"/>
      <x:c r="G3" s="10"/>
      <x:c r="H3" s="10"/>
    </x:row>
    <x:row r="4" ht="12" customHeight="1"/>
    <x:row r="6" ht="35" customHeight="1">
      <x:c r="A6" s="48" t="str">
        <x:v>Mốc / SHA</x:v>
      </x:c>
      <x:c r="B6" s="48" t="str">
        <x:v>Ngày</x:v>
      </x:c>
      <x:c r="C6" s="48" t="str">
        <x:v>Loại</x:v>
      </x:c>
      <x:c r="D6" s="48" t="str">
        <x:v>Kết quả</x:v>
      </x:c>
      <x:c r="E6" s="48" t="str">
        <x:v>Nguồn / chỉ dẫn</x:v>
      </x:c>
      <x:c r="F6" s="48" t="str">
        <x:v>Ý nghĩa QA</x:v>
      </x:c>
      <x:c r="G6" s="48" t="str">
        <x:v>Ghi chú</x:v>
      </x:c>
      <x:c r="H6" s="48" t="str">
        <x:v>Phân loại</x:v>
      </x:c>
    </x:row>
    <x:row r="7" ht="64" customHeight="1">
      <x:c r="A7" s="90" t="str">
        <x:v>141fa94e0a8...</x:v>
      </x:c>
      <x:c r="B7" s="90" t="str">
        <x:v>19/10/2026</x:v>
      </x:c>
      <x:c r="C7" s="90" t="str">
        <x:v>.NET / HTTP old</x:v>
      </x:c>
      <x:c r="D7" s="90" t="str">
        <x:v>87 automated PASS, HTTP retries</x:v>
      </x:c>
      <x:c r="E7" s="90" t="str">
        <x:v>Prior QA report, TRX &amp; Step evidence</x:v>
      </x:c>
      <x:c r="F7" s="90" t="str">
        <x:v>Lịch sử phát hiện và fix lỗi</x:v>
      </x:c>
      <x:c r="G7" s="90" t="str">
        <x:v>Không suy kết quả sang 05e2976d</x:v>
      </x:c>
      <x:c r="H7" s="90" t="str">
        <x:v>HISTORICAL</x:v>
      </x:c>
    </x:row>
    <x:row r="8" ht="64" customHeight="1">
      <x:c r="A8" s="90" t="str">
        <x:v>babbef42fafc...</x:v>
      </x:c>
      <x:c r="B8" s="90" t="str">
        <x:v>20/10/2026</x:v>
      </x:c>
      <x:c r="C8" s="90" t="str">
        <x:v>Retest old</x:v>
      </x:c>
      <x:c r="D8" s="90" t="str">
        <x:v>48 tests PASS + Owner HTTP cases</x:v>
      </x:c>
      <x:c r="E8" s="90" t="str">
        <x:v>Prior Excel: RETEST_BABBEF4</x:v>
      </x:c>
      <x:c r="F8" s="90" t="str">
        <x:v>Giữ nguồn cũ, không cộng số</x:v>
      </x:c>
      <x:c r="G8" s="90" t="str">
        <x:v>SHA khác với HEAD hiện được QA</x:v>
      </x:c>
      <x:c r="H8" s="90" t="str">
        <x:v>HISTORICAL</x:v>
      </x:c>
    </x:row>
    <x:row r="9" ht="64" customHeight="1">
      <x:c r="A9" s="90" t="str">
        <x:v>05e2976d</x:v>
      </x:c>
      <x:c r="B9" s="90" t="str">
        <x:v>22/10/2026</x:v>
      </x:c>
      <x:c r="C9" s="90" t="str">
        <x:v>.NET full suite</x:v>
      </x:c>
      <x:c r="D9" s="90" t="str">
        <x:v>167/167 PASS</x:v>
      </x:c>
      <x:c r="E9" s="90" t="str">
        <x:v>Output console đã xác nhận trong lượt trước</x:v>
      </x:c>
      <x:c r="F9" s="90" t="str">
        <x:v>Current automated test result</x:v>
      </x:c>
      <x:c r="G9" s="90" t="str">
        <x:v>0 failed, 0 skipped</x:v>
      </x:c>
      <x:c r="H9" s="90" t="str">
        <x:v>CURRENT</x:v>
      </x:c>
    </x:row>
    <x:row r="10" ht="64" customHeight="1">
      <x:c r="A10" s="90" t="str">
        <x:v>05e2976d</x:v>
      </x:c>
      <x:c r="B10" s="90" t="str">
        <x:v>22/10/2026</x:v>
      </x:c>
      <x:c r="C10" s="90" t="str">
        <x:v>E2E real Gmail</x:v>
      </x:c>
      <x:c r="D10" s="90" t="str">
        <x:v>Owner positive E2E PASS</x:v>
      </x:c>
      <x:c r="E10" s="90" t="str">
        <x:v>EV-E2E-01...08</x:v>
      </x:c>
      <x:c r="F10" s="90" t="str">
        <x:v>Mới bổ sung sau báo cáo cũ</x:v>
      </x:c>
      <x:c r="G10" s="90" t="str">
        <x:v>OTP &amp; decision mail tới Inbox thật</x:v>
      </x:c>
      <x:c r="H10" s="90" t="str">
        <x:v>CURRENT</x:v>
      </x:c>
    </x:row>
    <x:row r="11" ht="64" customHeight="1">
      <x:c r="A11" s="90" t="str">
        <x:v>05e2976d</x:v>
      </x:c>
      <x:c r="B11" s="90" t="str">
        <x:v>22/10/2026</x:v>
      </x:c>
      <x:c r="C11" s="90" t="str">
        <x:v>Known gaps</x:v>
      </x:c>
      <x:c r="D11" s="90" t="str">
        <x:v>Security token &amp; wide regression open</x:v>
      </x:c>
      <x:c r="E11" s="90" t="str">
        <x:v>OPEN_ITEMS</x:v>
      </x:c>
      <x:c r="F11" s="90" t="str">
        <x:v>Sign-off scope cần Leader xác nhận</x:v>
      </x:c>
      <x:c r="G11" s="90" t="str">
        <x:v>Không tự ghi PR fully approved</x:v>
      </x:c>
      <x:c r="H11" s="90" t="str">
        <x:v>OPEN</x:v>
      </x:c>
    </x:row>
  </x:sheetData>
  <x:mergeCells>
    <x:mergeCell ref="A1:H2"/>
    <x:mergeCell ref="A3:H3"/>
  </x:mergeCells>
  <x:pageMargins left="0.7" right="0.7" top="0.75" bottom="0.75" header="0.3" footer="0.3"/>
</x:worksheet>
</file>