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ff5d2f9c64f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109caa4166a471a"/>
    <x:sheet xmlns:r="http://schemas.openxmlformats.org/officeDocument/2006/relationships" name="Cases" sheetId="2" r:id="Rad544da45d744db2"/>
    <x:sheet xmlns:r="http://schemas.openxmlformats.org/officeDocument/2006/relationships" name="Test Report" sheetId="3" r:id="Ra1704880e59d4e5b"/>
    <x:sheet xmlns:r="http://schemas.openxmlformats.org/officeDocument/2006/relationships" name="Test Case List" sheetId="4" r:id="Rd782c8b22cf742a7"/>
    <x:sheet xmlns:r="http://schemas.openxmlformats.org/officeDocument/2006/relationships" name="Case Template" sheetId="5" r:id="Rb388ab5a1f7f4d8b"/>
    <x:sheet xmlns:r="http://schemas.openxmlformats.org/officeDocument/2006/relationships" name="Review Checklist" sheetId="6" r:id="Ra6acb085e1234b9c"/>
    <x:sheet xmlns:r="http://schemas.openxmlformats.org/officeDocument/2006/relationships" name="Adoption &amp; Signoff" sheetId="7" r:id="R0f191e3dd5ad44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1"/>
      <x:color rgb="FF20354B"/>
      <x:name val="Calibri"/>
    </x:font>
    <x:font>
      <x:b/>
      <x:sz val="12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0F5F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DDF1E5"/>
        </x:patternFill>
      </x:fill>
    </x:dxf>
    <x:dxf>
      <x:fill>
        <x:patternFill>
          <x:bgColor rgb="FFFCE1E1"/>
        </x:patternFill>
      </x:fill>
    </x:dxf>
    <x:dxf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5c4524ad74263" /><Relationship Type="http://schemas.openxmlformats.org/officeDocument/2006/relationships/theme" Target="/xl/theme/theme1.xml" Id="R9f5491fa56594bf3" /><Relationship Type="http://schemas.openxmlformats.org/officeDocument/2006/relationships/sharedStrings" Target="/xl/sharedStrings.xml" Id="Rbf5653a01eb34e44" /><Relationship Type="http://schemas.openxmlformats.org/officeDocument/2006/relationships/worksheet" Target="/xl/worksheets/sheet1.xml" Id="Ra109caa4166a471a" /><Relationship Type="http://schemas.openxmlformats.org/officeDocument/2006/relationships/worksheet" Target="/xl/worksheets/sheet2.xml" Id="Rad544da45d744db2" /><Relationship Type="http://schemas.openxmlformats.org/officeDocument/2006/relationships/worksheet" Target="/xl/worksheets/sheet3.xml" Id="Ra1704880e59d4e5b" /><Relationship Type="http://schemas.openxmlformats.org/officeDocument/2006/relationships/worksheet" Target="/xl/worksheets/sheet4.xml" Id="Rd782c8b22cf742a7" /><Relationship Type="http://schemas.openxmlformats.org/officeDocument/2006/relationships/worksheet" Target="/xl/worksheets/sheet5.xml" Id="Rb388ab5a1f7f4d8b" /><Relationship Type="http://schemas.openxmlformats.org/officeDocument/2006/relationships/worksheet" Target="/xl/worksheets/sheet6.xml" Id="Ra6acb085e1234b9c" /><Relationship Type="http://schemas.openxmlformats.org/officeDocument/2006/relationships/worksheet" Target="/xl/worksheets/sheet7.xml" Id="R0f191e3dd5ad4443" /></Relationships>
</file>

<file path=xl/tables/table1.xml><?xml version="1.0" encoding="utf-8"?>
<x:table xmlns:x="http://schemas.openxmlformats.org/spreadsheetml/2006/main" id="1" name="Sprint2Cases" displayName="Sprint2Cases" ref="A1:V30" headerRowCount="1" totalsRowCount="0" totalsRowShown="0">
  <x:tableColumns count="22">
    <x:tableColumn id="1" name="Test ID"/>
    <x:tableColumn id="2" name="Title"/>
    <x:tableColumn id="3" name="FR / requirement"/>
    <x:tableColumn id="4" name="BR"/>
    <x:tableColumn id="5" name="US"/>
    <x:tableColumn id="6" name="UC"/>
    <x:tableColumn id="7" name="API"/>
    <x:tableColumn id="8" name="Jira"/>
    <x:tableColumn id="9" name="Type / dimension"/>
    <x:tableColumn id="10" name="Risk"/>
    <x:tableColumn id="11" name="Preconditions"/>
    <x:tableColumn id="12" name="Data / setup"/>
    <x:tableColumn id="13" name="Steps"/>
    <x:tableColumn id="14" name="Independent expected result"/>
    <x:tableColumn id="15" name="Actual result"/>
    <x:tableColumn id="16" name="Evidence links"/>
    <x:tableColumn id="17" name="Status"/>
    <x:tableColumn id="18" name="Defect links"/>
    <x:tableColumn id="19" name="Retest / prior run links"/>
    <x:tableColumn id="20" name="Tester"/>
    <x:tableColumn id="21" name="Executed UTC"/>
    <x:tableColumn id="22" name="Baseline / readin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7c20c621d2417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0" hidden="0" customWidth="1"/>
  </x:cols>
  <x:sheetData>
    <x:row r="1" ht="32" customHeight="1">
      <x:c r="A1" s="5" t="str">
        <x:v>SMARTPARK • PAYMENTSERVICE TEST REPORT</x:v>
      </x:c>
      <x:c r="B1" s="5" t="str">
        <x:v>SPARK-201 template v1.0 / PR #14</x:v>
      </x:c>
    </x:row>
    <x:row r="2" ht="60" customHeight="1">
      <x:c r="A2" s="6" t="str">
        <x:v>Document status</x:v>
      </x:c>
      <x:c r="B2" s="6" t="str">
        <x:v>QA HOLD — webhook mismatch HTTP 500; NOT approved / reviewer pending</x:v>
      </x:c>
    </x:row>
    <x:row r="3" ht="60" customHeight="1">
      <x:c r="A3" s="3" t="str">
        <x:v>Prepared</x:v>
      </x:c>
      <x:c r="B3" s="3" t="str">
        <x:v>2026-10-27 • QA execution log; reviewer and signoff pending</x:v>
      </x:c>
    </x:row>
    <x:row r="4" ht="60" customHeight="1">
      <x:c r="A4" s="6" t="str">
        <x:v>Baseline</x:v>
      </x:c>
      <x:c r="B4" s="6" t="str">
        <x:v>PR #14 merged into develop; Jira SPARK-247 / SPARK-249 / SPARK-250; SPARK-201 format is review-ready (not officially adopted)</x:v>
      </x:c>
    </x:row>
    <x:row r="5" ht="60" customHeight="1">
      <x:c r="A5" s="3" t="str">
        <x:v>Code snapshot</x:v>
      </x:c>
      <x:c r="B5" s="3" t="str">
        <x:v>Merge SHA 5995394ef27c789cdd2cedc0d256e85d23d7e411 | PaymentService net10.0 | FE Vite 8.3.1</x:v>
      </x:c>
    </x:row>
    <x:row r="6" ht="60" customHeight="1">
      <x:c r="A6" s="6" t="str">
        <x:v>Service owner rule</x:v>
      </x:c>
      <x:c r="B6" s="6" t="str">
        <x:v>Each test recorded under its first/backend root caller; downstream dependencies are referenced, not duplicated</x:v>
      </x:c>
    </x:row>
    <x:row r="7" ht="60" customHeight="1">
      <x:c r="A7" s="3" t="str">
        <x:v>Execution</x:v>
      </x:c>
      <x:c r="B7" s="3" t="str">
        <x:v>98 service-owned cases: 92 Pass, 1 Fail, 1 Blocked, 4 Not Run</x:v>
      </x:c>
    </x:row>
    <x:row r="8" ht="60" customHeight="1">
      <x:c r="A8" s="6" t="str">
        <x:v>Reusable case rule</x:v>
      </x:c>
      <x:c r="B8" s="6" t="str">
        <x:v>No cross-service duplication; FR/BR/US/UC not guessed; unverified mappings labelled for reviewer</x:v>
      </x:c>
    </x:row>
    <x:row r="9" ht="60" customHeight="1">
      <x:c r="A9" s="3" t="str">
        <x:v>Coverage note</x:v>
      </x:c>
      <x:c r="B9" s="3" t="str">
        <x:v>Unit tests are QA rerun of developer-authored assertions; PostgreSQL/mock cases separately identified</x:v>
      </x:c>
    </x:row>
    <x:row r="10" ht="60" customHeight="1">
      <x:c r="A10" s="6" t="str">
        <x:v>Evidence / frontend</x:v>
      </x:c>
      <x:c r="B10" s="6" t="str">
        <x:v>Frontend supplemental evidence: Vite build PASS after npm ci, FE-HTTP-01 PASS, FE-UAT-01 HOME_OK; two FE-only cases NOT assigned to backend service.</x:v>
      </x:c>
    </x:row>
    <x:row r="11" ht="60" customHeight="1">
      <x:c r="A11" s="3" t="str">
        <x:v>Release gate</x:v>
      </x:c>
      <x:c r="B11" s="3" t="str">
        <x:v>Not sign-off; Payment webhook FAIL; E2E not verified. Evidence refs are local console/session notes, not committed links.</x:v>
      </x:c>
    </x:row>
    <x:row r="12" ht="60" customHeight="1">
      <x:c r="A12" s="6" t="str">
        <x:v>Original format</x:v>
      </x:c>
      <x:c r="B12" s="6" t="str">
        <x:v>Adapted directly from uploaded SPARK-201 Tester-Workbook-v1.0.xlsx: all 7 original tabs retained.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48" hidden="0" customWidth="1"/>
    <x:col min="3" max="3" width="35" hidden="0" customWidth="1"/>
    <x:col min="4" max="4" width="30" hidden="0" customWidth="1"/>
    <x:col min="5" max="5" width="24" hidden="0" customWidth="1"/>
    <x:col min="6" max="6" width="25" hidden="0" customWidth="1"/>
    <x:col min="7" max="7" width="50" hidden="0" customWidth="1"/>
    <x:col min="8" max="8" width="32" hidden="0" customWidth="1"/>
    <x:col min="9" max="9" width="33" hidden="0" customWidth="1"/>
    <x:col min="10" max="10" width="26" hidden="0" customWidth="1"/>
    <x:col min="11" max="11" width="44" hidden="0" customWidth="1"/>
    <x:col min="12" max="12" width="44" hidden="0" customWidth="1"/>
    <x:col min="13" max="13" width="48" hidden="0" customWidth="1"/>
    <x:col min="14" max="14" width="52" hidden="0" customWidth="1"/>
    <x:col min="15" max="15" width="54" hidden="0" customWidth="1"/>
    <x:col min="16" max="16" width="46" hidden="0" customWidth="1"/>
    <x:col min="17" max="17" width="14" hidden="0" customWidth="1"/>
    <x:col min="18" max="18" width="26" hidden="0" customWidth="1"/>
    <x:col min="19" max="19" width="33" hidden="0" customWidth="1"/>
    <x:col min="20" max="20" width="16" hidden="0" customWidth="1"/>
    <x:col min="21" max="21" width="22" hidden="0" customWidth="1"/>
    <x:col min="22" max="22" width="62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FR / requirement</x:v>
      </x:c>
      <x:c r="D1" s="5" t="str">
        <x:v>BR</x:v>
      </x:c>
      <x:c r="E1" s="5" t="str">
        <x:v>US</x:v>
      </x:c>
      <x:c r="F1" s="5" t="str">
        <x:v>UC</x:v>
      </x:c>
      <x:c r="G1" s="5" t="str">
        <x:v>API</x:v>
      </x:c>
      <x:c r="H1" s="5" t="str">
        <x:v>Jira</x:v>
      </x:c>
      <x:c r="I1" s="5" t="str">
        <x:v>Type / dimension</x:v>
      </x:c>
      <x:c r="J1" s="5" t="str">
        <x:v>Risk</x:v>
      </x:c>
      <x:c r="K1" s="5" t="str">
        <x:v>Preconditions</x:v>
      </x:c>
      <x:c r="L1" s="5" t="str">
        <x:v>Data / setup</x:v>
      </x:c>
      <x:c r="M1" s="5" t="str">
        <x:v>Steps</x:v>
      </x:c>
      <x:c r="N1" s="5" t="str">
        <x:v>Independent expected result</x:v>
      </x:c>
      <x:c r="O1" s="5" t="str">
        <x:v>Actual result</x:v>
      </x:c>
      <x:c r="P1" s="5" t="str">
        <x:v>Evidence links</x:v>
      </x:c>
      <x:c r="Q1" s="5" t="str">
        <x:v>Status</x:v>
      </x:c>
      <x:c r="R1" s="5" t="str">
        <x:v>Defect links</x:v>
      </x:c>
      <x:c r="S1" s="5" t="str">
        <x:v>Retest / prior run links</x:v>
      </x:c>
      <x:c r="T1" s="5" t="str">
        <x:v>Tester</x:v>
      </x:c>
      <x:c r="U1" s="5" t="str">
        <x:v>Executed UTC</x:v>
      </x:c>
      <x:c r="V1" s="5" t="str">
        <x:v>Baseline / readiness</x:v>
      </x:c>
    </x:row>
    <x:row r="2" ht="56" customHeight="1">
      <x:c r="A2" s="6" t="str">
        <x:v>UNIT-001</x:v>
      </x:c>
      <x:c r="B2" s="6" t="str">
        <x:v>Domain.PaymentStateMachineTests.CanTransition_ValidatesAllowedTransitionsCorrectly(current: PENDING, next: CANCELLED, expected: True)</x:v>
      </x:c>
      <x:c r="C2" s="6" t="str">
        <x:v>Chưa ánh xạ FR chính thức; source PR #14</x:v>
      </x:c>
      <x:c r="D2" s="6" t="str">
        <x:v>N/A — yêu cầu BR chưa được đối chiếu</x:v>
      </x:c>
      <x:c r="E2" s="6" t="str">
        <x:v>US-D02 (parent story SPARK-247)</x:v>
      </x:c>
      <x:c r="F2" s="6" t="str">
        <x:v>Chưa đối chiếu UC</x:v>
      </x:c>
      <x:c r="G2" s="6" t="str">
        <x:v>N/A — .NET unit test (internal class/method)</x:v>
      </x:c>
      <x:c r="H2" s="6" t="str">
        <x:v>SPARK-250</x:v>
      </x:c>
      <x:c r="I2" s="6" t="str">
        <x:v>Unit / automated xUnit (dev tests; QA rerun)</x:v>
      </x:c>
      <x:c r="J2" s="6" t="str">
        <x:v>Medium</x:v>
      </x:c>
      <x:c r="K2" s="6" t="str">
        <x:v>QA commit 5995394ef27c; environment per execution log</x:v>
      </x:c>
      <x:c r="L2" s="6" t="str">
        <x:v>Backend unit/DI; synthetic local data; no real payment</x:v>
      </x:c>
      <x:c r="M2" s="6" t="str">
        <x:v>dotnet test PaymentService test project; inspect named xUnit case + summary 80/80.</x:v>
      </x:c>
      <x:c r="N2" s="6" t="str">
        <x:v>xUnit assertion recorded in source; independent acceptance oracle NOT reviewed. Expected runner result: test Pass; not proof of live business behavior.</x:v>
      </x:c>
      <x:c r="O2" s="6" t="str">
        <x:v>PASS từ dotnet test; 80 tests tổng cộng; 0 fail, 0 skip</x:v>
      </x:c>
      <x:c r="P2" s="6" t="str">
        <x:v>QA console / PowerShell step 5 / 20261027-065343</x:v>
      </x:c>
      <x:c r="Q2" s="6" t="str">
        <x:v>Pass</x:v>
      </x:c>
      <x:c r="R2" s="6"/>
      <x:c r="S2" s="6"/>
      <x:c r="T2" s="6"/>
      <x:c r="U2" s="6"/>
      <x:c r="V2" s="6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3" ht="56" customHeight="1">
      <x:c r="A3" s="3" t="str">
        <x:v>UNIT-002</x:v>
      </x:c>
      <x:c r="B3" s="3" t="str">
        <x:v>Domain.PaymentStateMachineTests.CanTransition_ValidatesAllowedTransitionsCorrectly(current: CANCELLED, next: SUCCESS, expected: False)</x:v>
      </x:c>
      <x:c r="C3" s="3" t="str">
        <x:v>Chưa ánh xạ FR chính thức; source PR #14</x:v>
      </x:c>
      <x:c r="D3" s="3" t="str">
        <x:v>N/A — yêu cầu BR chưa được đối chiếu</x:v>
      </x:c>
      <x:c r="E3" s="3" t="str">
        <x:v>US-D02 (parent story SPARK-247)</x:v>
      </x:c>
      <x:c r="F3" s="3" t="str">
        <x:v>Chưa đối chiếu UC</x:v>
      </x:c>
      <x:c r="G3" s="3" t="str">
        <x:v>N/A — .NET unit test (internal class/method)</x:v>
      </x:c>
      <x:c r="H3" s="3" t="str">
        <x:v>SPARK-250</x:v>
      </x:c>
      <x:c r="I3" s="3" t="str">
        <x:v>Unit / automated xUnit (dev tests; QA rerun)</x:v>
      </x:c>
      <x:c r="J3" s="3" t="str">
        <x:v>Medium</x:v>
      </x:c>
      <x:c r="K3" s="3" t="str">
        <x:v>QA commit 5995394ef27c; environment per execution log</x:v>
      </x:c>
      <x:c r="L3" s="3" t="str">
        <x:v>Backend unit/DI; synthetic local data; no real payment</x:v>
      </x:c>
      <x:c r="M3" s="3" t="str">
        <x:v>dotnet test PaymentService test project; inspect named xUnit case + summary 80/80.</x:v>
      </x:c>
      <x:c r="N3" s="3" t="str">
        <x:v>xUnit assertion recorded in source; independent acceptance oracle NOT reviewed. Expected runner result: test Pass; not proof of live business behavior.</x:v>
      </x:c>
      <x:c r="O3" s="3" t="str">
        <x:v>PASS từ dotnet test; 80 tests tổng cộng; 0 fail, 0 skip</x:v>
      </x:c>
      <x:c r="P3" s="3" t="str">
        <x:v>QA console / PowerShell step 5 / 20261027-065343</x:v>
      </x:c>
      <x:c r="Q3" s="3" t="str">
        <x:v>Pass</x:v>
      </x:c>
      <x:c r="R3" s="3"/>
      <x:c r="S3" s="3"/>
      <x:c r="T3" s="3"/>
      <x:c r="U3" s="3"/>
      <x:c r="V3" s="3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4" ht="56" customHeight="1">
      <x:c r="A4" s="6" t="str">
        <x:v>UNIT-003</x:v>
      </x:c>
      <x:c r="B4" s="6" t="str">
        <x:v>Domain.PaymentStateMachineTests.CanTransition_ValidatesAllowedTransitionsCorrectly(current: SUCCESS, next: CANCELLED, expected: False)</x:v>
      </x:c>
      <x:c r="C4" s="6" t="str">
        <x:v>Chưa ánh xạ FR chính thức; source PR #14</x:v>
      </x:c>
      <x:c r="D4" s="6" t="str">
        <x:v>N/A — yêu cầu BR chưa được đối chiếu</x:v>
      </x:c>
      <x:c r="E4" s="6" t="str">
        <x:v>US-D02 (parent story SPARK-247)</x:v>
      </x:c>
      <x:c r="F4" s="6" t="str">
        <x:v>Chưa đối chiếu UC</x:v>
      </x:c>
      <x:c r="G4" s="6" t="str">
        <x:v>N/A — .NET unit test (internal class/method)</x:v>
      </x:c>
      <x:c r="H4" s="6" t="str">
        <x:v>SPARK-250</x:v>
      </x:c>
      <x:c r="I4" s="6" t="str">
        <x:v>Unit / automated xUnit (dev tests; QA rerun)</x:v>
      </x:c>
      <x:c r="J4" s="6" t="str">
        <x:v>Medium</x:v>
      </x:c>
      <x:c r="K4" s="6" t="str">
        <x:v>QA commit 5995394ef27c; environment per execution log</x:v>
      </x:c>
      <x:c r="L4" s="6" t="str">
        <x:v>Backend unit/DI; synthetic local data; no real payment</x:v>
      </x:c>
      <x:c r="M4" s="6" t="str">
        <x:v>dotnet test PaymentService test project; inspect named xUnit case + summary 80/80.</x:v>
      </x:c>
      <x:c r="N4" s="6" t="str">
        <x:v>xUnit assertion recorded in source; independent acceptance oracle NOT reviewed. Expected runner result: test Pass; not proof of live business behavior.</x:v>
      </x:c>
      <x:c r="O4" s="6" t="str">
        <x:v>PASS từ dotnet test; 80 tests tổng cộng; 0 fail, 0 skip</x:v>
      </x:c>
      <x:c r="P4" s="6" t="str">
        <x:v>QA console / PowerShell step 5 / 20261027-065343</x:v>
      </x:c>
      <x:c r="Q4" s="6" t="str">
        <x:v>Pass</x:v>
      </x:c>
      <x:c r="R4" s="6"/>
      <x:c r="S4" s="6"/>
      <x:c r="T4" s="6"/>
      <x:c r="U4" s="6"/>
      <x:c r="V4" s="6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5" ht="56" customHeight="1">
      <x:c r="A5" s="3" t="str">
        <x:v>UNIT-004</x:v>
      </x:c>
      <x:c r="B5" s="3" t="str">
        <x:v>Domain.PaymentStateMachineTests.CanTransition_ValidatesAllowedTransitionsCorrectly(current: UNKNOWN, next: SUCCESS, expected: True)</x:v>
      </x:c>
      <x:c r="C5" s="3" t="str">
        <x:v>Chưa ánh xạ FR chính thức; source PR #14</x:v>
      </x:c>
      <x:c r="D5" s="3" t="str">
        <x:v>N/A — yêu cầu BR chưa được đối chiếu</x:v>
      </x:c>
      <x:c r="E5" s="3" t="str">
        <x:v>US-D02 (parent story SPARK-247)</x:v>
      </x:c>
      <x:c r="F5" s="3" t="str">
        <x:v>Chưa đối chiếu UC</x:v>
      </x:c>
      <x:c r="G5" s="3" t="str">
        <x:v>N/A — .NET unit test (internal class/method)</x:v>
      </x:c>
      <x:c r="H5" s="3" t="str">
        <x:v>SPARK-250</x:v>
      </x:c>
      <x:c r="I5" s="3" t="str">
        <x:v>Unit / automated xUnit (dev tests; QA rerun)</x:v>
      </x:c>
      <x:c r="J5" s="3" t="str">
        <x:v>Medium</x:v>
      </x:c>
      <x:c r="K5" s="3" t="str">
        <x:v>QA commit 5995394ef27c; environment per execution log</x:v>
      </x:c>
      <x:c r="L5" s="3" t="str">
        <x:v>Backend unit/DI; synthetic local data; no real payment</x:v>
      </x:c>
      <x:c r="M5" s="3" t="str">
        <x:v>dotnet test PaymentService test project; inspect named xUnit case + summary 80/80.</x:v>
      </x:c>
      <x:c r="N5" s="3" t="str">
        <x:v>xUnit assertion recorded in source; independent acceptance oracle NOT reviewed. Expected runner result: test Pass; not proof of live business behavior.</x:v>
      </x:c>
      <x:c r="O5" s="3" t="str">
        <x:v>PASS từ dotnet test; 80 tests tổng cộng; 0 fail, 0 skip</x:v>
      </x:c>
      <x:c r="P5" s="3" t="str">
        <x:v>QA console / PowerShell step 5 / 20261027-065343</x:v>
      </x:c>
      <x:c r="Q5" s="3" t="str">
        <x:v>Pass</x:v>
      </x:c>
      <x:c r="R5" s="3"/>
      <x:c r="S5" s="3"/>
      <x:c r="T5" s="3"/>
      <x:c r="U5" s="3"/>
      <x:c r="V5" s="3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6" ht="56" customHeight="1">
      <x:c r="A6" s="6" t="str">
        <x:v>UNIT-005</x:v>
      </x:c>
      <x:c r="B6" s="6" t="str">
        <x:v>Domain.PaymentStateMachineTests.CanTransition_ValidatesAllowedTransitionsCorrectly(current: CANCELLED, next: PENDING, expected: False)</x:v>
      </x:c>
      <x:c r="C6" s="6" t="str">
        <x:v>Chưa ánh xạ FR chính thức; source PR #14</x:v>
      </x:c>
      <x:c r="D6" s="6" t="str">
        <x:v>N/A — yêu cầu BR chưa được đối chiếu</x:v>
      </x:c>
      <x:c r="E6" s="6" t="str">
        <x:v>US-D02 (parent story SPARK-247)</x:v>
      </x:c>
      <x:c r="F6" s="6" t="str">
        <x:v>Chưa đối chiếu UC</x:v>
      </x:c>
      <x:c r="G6" s="6" t="str">
        <x:v>N/A — .NET unit test (internal class/method)</x:v>
      </x:c>
      <x:c r="H6" s="6" t="str">
        <x:v>SPARK-250</x:v>
      </x:c>
      <x:c r="I6" s="6" t="str">
        <x:v>Unit / automated xUnit (dev tests; QA rerun)</x:v>
      </x:c>
      <x:c r="J6" s="6" t="str">
        <x:v>Medium</x:v>
      </x:c>
      <x:c r="K6" s="6" t="str">
        <x:v>QA commit 5995394ef27c; environment per execution log</x:v>
      </x:c>
      <x:c r="L6" s="6" t="str">
        <x:v>Backend unit/DI; synthetic local data; no real payment</x:v>
      </x:c>
      <x:c r="M6" s="6" t="str">
        <x:v>dotnet test PaymentService test project; inspect named xUnit case + summary 80/80.</x:v>
      </x:c>
      <x:c r="N6" s="6" t="str">
        <x:v>xUnit assertion recorded in source; independent acceptance oracle NOT reviewed. Expected runner result: test Pass; not proof of live business behavior.</x:v>
      </x:c>
      <x:c r="O6" s="6" t="str">
        <x:v>PASS từ dotnet test; 80 tests tổng cộng; 0 fail, 0 skip</x:v>
      </x:c>
      <x:c r="P6" s="6" t="str">
        <x:v>QA console / PowerShell step 5 / 20261027-065343</x:v>
      </x:c>
      <x:c r="Q6" s="6" t="str">
        <x:v>Pass</x:v>
      </x:c>
      <x:c r="R6" s="6"/>
      <x:c r="S6" s="6"/>
      <x:c r="T6" s="6"/>
      <x:c r="U6" s="6"/>
      <x:c r="V6" s="6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7" ht="56" customHeight="1">
      <x:c r="A7" s="3" t="str">
        <x:v>UNIT-006</x:v>
      </x:c>
      <x:c r="B7" s="3" t="str">
        <x:v>Domain.PaymentStateMachineTests.CanTransition_ValidatesAllowedTransitionsCorrectly(current: FAILED, next: PENDING, expected: True)</x:v>
      </x:c>
      <x:c r="C7" s="3" t="str">
        <x:v>Chưa ánh xạ FR chính thức; source PR #14</x:v>
      </x:c>
      <x:c r="D7" s="3" t="str">
        <x:v>N/A — yêu cầu BR chưa được đối chiếu</x:v>
      </x:c>
      <x:c r="E7" s="3" t="str">
        <x:v>US-D02 (parent story SPARK-247)</x:v>
      </x:c>
      <x:c r="F7" s="3" t="str">
        <x:v>Chưa đối chiếu UC</x:v>
      </x:c>
      <x:c r="G7" s="3" t="str">
        <x:v>N/A — .NET unit test (internal class/method)</x:v>
      </x:c>
      <x:c r="H7" s="3" t="str">
        <x:v>SPARK-250</x:v>
      </x:c>
      <x:c r="I7" s="3" t="str">
        <x:v>Unit / automated xUnit (dev tests; QA rerun)</x:v>
      </x:c>
      <x:c r="J7" s="3" t="str">
        <x:v>Medium</x:v>
      </x:c>
      <x:c r="K7" s="3" t="str">
        <x:v>QA commit 5995394ef27c; environment per execution log</x:v>
      </x:c>
      <x:c r="L7" s="3" t="str">
        <x:v>Backend unit/DI; synthetic local data; no real payment</x:v>
      </x:c>
      <x:c r="M7" s="3" t="str">
        <x:v>dotnet test PaymentService test project; inspect named xUnit case + summary 80/80.</x:v>
      </x:c>
      <x:c r="N7" s="3" t="str">
        <x:v>xUnit assertion recorded in source; independent acceptance oracle NOT reviewed. Expected runner result: test Pass; not proof of live business behavior.</x:v>
      </x:c>
      <x:c r="O7" s="3" t="str">
        <x:v>PASS từ dotnet test; 80 tests tổng cộng; 0 fail, 0 skip</x:v>
      </x:c>
      <x:c r="P7" s="3" t="str">
        <x:v>QA console / PowerShell step 5 / 20261027-065343</x:v>
      </x:c>
      <x:c r="Q7" s="3" t="str">
        <x:v>Pass</x:v>
      </x:c>
      <x:c r="R7" s="3"/>
      <x:c r="S7" s="3"/>
      <x:c r="T7" s="3"/>
      <x:c r="U7" s="3"/>
      <x:c r="V7" s="3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8" ht="56" customHeight="1">
      <x:c r="A8" s="6" t="str">
        <x:v>UNIT-007</x:v>
      </x:c>
      <x:c r="B8" s="6" t="str">
        <x:v>Domain.PaymentStateMachineTests.CanTransition_ValidatesAllowedTransitionsCorrectly(current: SUCCESS, next: PENDING, expected: False)</x:v>
      </x:c>
      <x:c r="C8" s="6" t="str">
        <x:v>Chưa ánh xạ FR chính thức; source PR #14</x:v>
      </x:c>
      <x:c r="D8" s="6" t="str">
        <x:v>N/A — yêu cầu BR chưa được đối chiếu</x:v>
      </x:c>
      <x:c r="E8" s="6" t="str">
        <x:v>US-D02 (parent story SPARK-247)</x:v>
      </x:c>
      <x:c r="F8" s="6" t="str">
        <x:v>Chưa đối chiếu UC</x:v>
      </x:c>
      <x:c r="G8" s="6" t="str">
        <x:v>N/A — .NET unit test (internal class/method)</x:v>
      </x:c>
      <x:c r="H8" s="6" t="str">
        <x:v>SPARK-250</x:v>
      </x:c>
      <x:c r="I8" s="6" t="str">
        <x:v>Unit / automated xUnit (dev tests; QA rerun)</x:v>
      </x:c>
      <x:c r="J8" s="6" t="str">
        <x:v>Medium</x:v>
      </x:c>
      <x:c r="K8" s="6" t="str">
        <x:v>QA commit 5995394ef27c; environment per execution log</x:v>
      </x:c>
      <x:c r="L8" s="6" t="str">
        <x:v>Backend unit/DI; synthetic local data; no real payment</x:v>
      </x:c>
      <x:c r="M8" s="6" t="str">
        <x:v>dotnet test PaymentService test project; inspect named xUnit case + summary 80/80.</x:v>
      </x:c>
      <x:c r="N8" s="6" t="str">
        <x:v>xUnit assertion recorded in source; independent acceptance oracle NOT reviewed. Expected runner result: test Pass; not proof of live business behavior.</x:v>
      </x:c>
      <x:c r="O8" s="6" t="str">
        <x:v>PASS từ dotnet test; 80 tests tổng cộng; 0 fail, 0 skip</x:v>
      </x:c>
      <x:c r="P8" s="6" t="str">
        <x:v>QA console / PowerShell step 5 / 20261027-065343</x:v>
      </x:c>
      <x:c r="Q8" s="6" t="str">
        <x:v>Pass</x:v>
      </x:c>
      <x:c r="R8" s="6"/>
      <x:c r="S8" s="6"/>
      <x:c r="T8" s="6"/>
      <x:c r="U8" s="6"/>
      <x:c r="V8" s="6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9" ht="56" customHeight="1">
      <x:c r="A9" s="3" t="str">
        <x:v>UNIT-008</x:v>
      </x:c>
      <x:c r="B9" s="3" t="str">
        <x:v>Domain.PaymentStateMachineTests.CanTransition_ValidatesAllowedTransitionsCorrectly(current: UNKNOWN, next: FAILED, expected: True)</x:v>
      </x:c>
      <x:c r="C9" s="3" t="str">
        <x:v>Chưa ánh xạ FR chính thức; source PR #14</x:v>
      </x:c>
      <x:c r="D9" s="3" t="str">
        <x:v>N/A — yêu cầu BR chưa được đối chiếu</x:v>
      </x:c>
      <x:c r="E9" s="3" t="str">
        <x:v>US-D02 (parent story SPARK-247)</x:v>
      </x:c>
      <x:c r="F9" s="3" t="str">
        <x:v>Chưa đối chiếu UC</x:v>
      </x:c>
      <x:c r="G9" s="3" t="str">
        <x:v>N/A — .NET unit test (internal class/method)</x:v>
      </x:c>
      <x:c r="H9" s="3" t="str">
        <x:v>SPARK-250</x:v>
      </x:c>
      <x:c r="I9" s="3" t="str">
        <x:v>Unit / automated xUnit (dev tests; QA rerun)</x:v>
      </x:c>
      <x:c r="J9" s="3" t="str">
        <x:v>Medium</x:v>
      </x:c>
      <x:c r="K9" s="3" t="str">
        <x:v>QA commit 5995394ef27c; environment per execution log</x:v>
      </x:c>
      <x:c r="L9" s="3" t="str">
        <x:v>Backend unit/DI; synthetic local data; no real payment</x:v>
      </x:c>
      <x:c r="M9" s="3" t="str">
        <x:v>dotnet test PaymentService test project; inspect named xUnit case + summary 80/80.</x:v>
      </x:c>
      <x:c r="N9" s="3" t="str">
        <x:v>xUnit assertion recorded in source; independent acceptance oracle NOT reviewed. Expected runner result: test Pass; not proof of live business behavior.</x:v>
      </x:c>
      <x:c r="O9" s="3" t="str">
        <x:v>PASS từ dotnet test; 80 tests tổng cộng; 0 fail, 0 skip</x:v>
      </x:c>
      <x:c r="P9" s="3" t="str">
        <x:v>QA console / PowerShell step 5 / 20261027-065343</x:v>
      </x:c>
      <x:c r="Q9" s="3" t="str">
        <x:v>Pass</x:v>
      </x:c>
      <x:c r="R9" s="3"/>
      <x:c r="S9" s="3"/>
      <x:c r="T9" s="3"/>
      <x:c r="U9" s="3"/>
      <x:c r="V9" s="3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10" ht="56" customHeight="1">
      <x:c r="A10" s="6" t="str">
        <x:v>UNIT-009</x:v>
      </x:c>
      <x:c r="B10" s="6" t="str">
        <x:v>Domain.PaymentStateMachineTests.CanTransition_ValidatesAllowedTransitionsCorrectly(current: PENDING, next: UNKNOWN, expected: True)</x:v>
      </x:c>
      <x:c r="C10" s="6" t="str">
        <x:v>Chưa ánh xạ FR chính thức; source PR #14</x:v>
      </x:c>
      <x:c r="D10" s="6" t="str">
        <x:v>N/A — yêu cầu BR chưa được đối chiếu</x:v>
      </x:c>
      <x:c r="E10" s="6" t="str">
        <x:v>US-D02 (parent story SPARK-247)</x:v>
      </x:c>
      <x:c r="F10" s="6" t="str">
        <x:v>Chưa đối chiếu UC</x:v>
      </x:c>
      <x:c r="G10" s="6" t="str">
        <x:v>N/A — .NET unit test (internal class/method)</x:v>
      </x:c>
      <x:c r="H10" s="6" t="str">
        <x:v>SPARK-250</x:v>
      </x:c>
      <x:c r="I10" s="6" t="str">
        <x:v>Unit / automated xUnit (dev tests; QA rerun)</x:v>
      </x:c>
      <x:c r="J10" s="6" t="str">
        <x:v>Medium</x:v>
      </x:c>
      <x:c r="K10" s="6" t="str">
        <x:v>QA commit 5995394ef27c; environment per execution log</x:v>
      </x:c>
      <x:c r="L10" s="6" t="str">
        <x:v>Backend unit/DI; synthetic local data; no real payment</x:v>
      </x:c>
      <x:c r="M10" s="6" t="str">
        <x:v>dotnet test PaymentService test project; inspect named xUnit case + summary 80/80.</x:v>
      </x:c>
      <x:c r="N10" s="6" t="str">
        <x:v>xUnit assertion recorded in source; independent acceptance oracle NOT reviewed. Expected runner result: test Pass; not proof of live business behavior.</x:v>
      </x:c>
      <x:c r="O10" s="6" t="str">
        <x:v>PASS từ dotnet test; 80 tests tổng cộng; 0 fail, 0 skip</x:v>
      </x:c>
      <x:c r="P10" s="6" t="str">
        <x:v>QA console / PowerShell step 5 / 20261027-065343</x:v>
      </x:c>
      <x:c r="Q10" s="6" t="str">
        <x:v>Pass</x:v>
      </x:c>
      <x:c r="R10" s="6"/>
      <x:c r="S10" s="6"/>
      <x:c r="T10" s="6"/>
      <x:c r="U10" s="6"/>
      <x:c r="V10" s="6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11" ht="56" customHeight="1">
      <x:c r="A11" s="3" t="str">
        <x:v>UNIT-010</x:v>
      </x:c>
      <x:c r="B11" s="3" t="str">
        <x:v>Domain.PaymentStateMachineTests.CanTransition_ValidatesAllowedTransitionsCorrectly(current: PENDING, next: FAILED, expected: True)</x:v>
      </x:c>
      <x:c r="C11" s="3" t="str">
        <x:v>Chưa ánh xạ FR chính thức; source PR #14</x:v>
      </x:c>
      <x:c r="D11" s="3" t="str">
        <x:v>N/A — yêu cầu BR chưa được đối chiếu</x:v>
      </x:c>
      <x:c r="E11" s="3" t="str">
        <x:v>US-D02 (parent story SPARK-247)</x:v>
      </x:c>
      <x:c r="F11" s="3" t="str">
        <x:v>Chưa đối chiếu UC</x:v>
      </x:c>
      <x:c r="G11" s="3" t="str">
        <x:v>N/A — .NET unit test (internal class/method)</x:v>
      </x:c>
      <x:c r="H11" s="3" t="str">
        <x:v>SPARK-250</x:v>
      </x:c>
      <x:c r="I11" s="3" t="str">
        <x:v>Unit / automated xUnit (dev tests; QA rerun)</x:v>
      </x:c>
      <x:c r="J11" s="3" t="str">
        <x:v>Medium</x:v>
      </x:c>
      <x:c r="K11" s="3" t="str">
        <x:v>QA commit 5995394ef27c; environment per execution log</x:v>
      </x:c>
      <x:c r="L11" s="3" t="str">
        <x:v>Backend unit/DI; synthetic local data; no real payment</x:v>
      </x:c>
      <x:c r="M11" s="3" t="str">
        <x:v>dotnet test PaymentService test project; inspect named xUnit case + summary 80/80.</x:v>
      </x:c>
      <x:c r="N11" s="3" t="str">
        <x:v>xUnit assertion recorded in source; independent acceptance oracle NOT reviewed. Expected runner result: test Pass; not proof of live business behavior.</x:v>
      </x:c>
      <x:c r="O11" s="3" t="str">
        <x:v>PASS từ dotnet test; 80 tests tổng cộng; 0 fail, 0 skip</x:v>
      </x:c>
      <x:c r="P11" s="3" t="str">
        <x:v>QA console / PowerShell step 5 / 20261027-065343</x:v>
      </x:c>
      <x:c r="Q11" s="3" t="str">
        <x:v>Pass</x:v>
      </x:c>
      <x:c r="R11" s="3"/>
      <x:c r="S11" s="3"/>
      <x:c r="T11" s="3"/>
      <x:c r="U11" s="3"/>
      <x:c r="V11" s="3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12" ht="56" customHeight="1">
      <x:c r="A12" s="6" t="str">
        <x:v>UNIT-011</x:v>
      </x:c>
      <x:c r="B12" s="6" t="str">
        <x:v>Domain.PaymentStateMachineTests.CanTransition_ValidatesAllowedTransitionsCorrectly(current: SUCCESS, next: FAILED, expected: False)</x:v>
      </x:c>
      <x:c r="C12" s="6" t="str">
        <x:v>Chưa ánh xạ FR chính thức; source PR #14</x:v>
      </x:c>
      <x:c r="D12" s="6" t="str">
        <x:v>N/A — yêu cầu BR chưa được đối chiếu</x:v>
      </x:c>
      <x:c r="E12" s="6" t="str">
        <x:v>US-D02 (parent story SPARK-247)</x:v>
      </x:c>
      <x:c r="F12" s="6" t="str">
        <x:v>Chưa đối chiếu UC</x:v>
      </x:c>
      <x:c r="G12" s="6" t="str">
        <x:v>N/A — .NET unit test (internal class/method)</x:v>
      </x:c>
      <x:c r="H12" s="6" t="str">
        <x:v>SPARK-250</x:v>
      </x:c>
      <x:c r="I12" s="6" t="str">
        <x:v>Unit / automated xUnit (dev tests; QA rerun)</x:v>
      </x:c>
      <x:c r="J12" s="6" t="str">
        <x:v>Medium</x:v>
      </x:c>
      <x:c r="K12" s="6" t="str">
        <x:v>QA commit 5995394ef27c; environment per execution log</x:v>
      </x:c>
      <x:c r="L12" s="6" t="str">
        <x:v>Backend unit/DI; synthetic local data; no real payment</x:v>
      </x:c>
      <x:c r="M12" s="6" t="str">
        <x:v>dotnet test PaymentService test project; inspect named xUnit case + summary 80/80.</x:v>
      </x:c>
      <x:c r="N12" s="6" t="str">
        <x:v>xUnit assertion recorded in source; independent acceptance oracle NOT reviewed. Expected runner result: test Pass; not proof of live business behavior.</x:v>
      </x:c>
      <x:c r="O12" s="6" t="str">
        <x:v>PASS từ dotnet test; 80 tests tổng cộng; 0 fail, 0 skip</x:v>
      </x:c>
      <x:c r="P12" s="6" t="str">
        <x:v>QA console / PowerShell step 5 / 20261027-065343</x:v>
      </x:c>
      <x:c r="Q12" s="6" t="str">
        <x:v>Pass</x:v>
      </x:c>
      <x:c r="R12" s="6"/>
      <x:c r="S12" s="6"/>
      <x:c r="T12" s="6"/>
      <x:c r="U12" s="6"/>
      <x:c r="V12" s="6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13" ht="56" customHeight="1">
      <x:c r="A13" s="3" t="str">
        <x:v>UNIT-012</x:v>
      </x:c>
      <x:c r="B13" s="3" t="str">
        <x:v>Domain.PaymentStateMachineTests.CanTransition_ValidatesAllowedTransitionsCorrectly(current: PENDING, next: SUCCESS, expected: True)</x:v>
      </x:c>
      <x:c r="C13" s="3" t="str">
        <x:v>Chưa ánh xạ FR chính thức; source PR #14</x:v>
      </x:c>
      <x:c r="D13" s="3" t="str">
        <x:v>N/A — yêu cầu BR chưa được đối chiếu</x:v>
      </x:c>
      <x:c r="E13" s="3" t="str">
        <x:v>US-D02 (parent story SPARK-247)</x:v>
      </x:c>
      <x:c r="F13" s="3" t="str">
        <x:v>Chưa đối chiếu UC</x:v>
      </x:c>
      <x:c r="G13" s="3" t="str">
        <x:v>N/A — .NET unit test (internal class/method)</x:v>
      </x:c>
      <x:c r="H13" s="3" t="str">
        <x:v>SPARK-250</x:v>
      </x:c>
      <x:c r="I13" s="3" t="str">
        <x:v>Unit / automated xUnit (dev tests; QA rerun)</x:v>
      </x:c>
      <x:c r="J13" s="3" t="str">
        <x:v>Medium</x:v>
      </x:c>
      <x:c r="K13" s="3" t="str">
        <x:v>QA commit 5995394ef27c; environment per execution log</x:v>
      </x:c>
      <x:c r="L13" s="3" t="str">
        <x:v>Backend unit/DI; synthetic local data; no real payment</x:v>
      </x:c>
      <x:c r="M13" s="3" t="str">
        <x:v>dotnet test PaymentService test project; inspect named xUnit case + summary 80/80.</x:v>
      </x:c>
      <x:c r="N13" s="3" t="str">
        <x:v>xUnit assertion recorded in source; independent acceptance oracle NOT reviewed. Expected runner result: test Pass; not proof of live business behavior.</x:v>
      </x:c>
      <x:c r="O13" s="3" t="str">
        <x:v>PASS từ dotnet test; 80 tests tổng cộng; 0 fail, 0 skip</x:v>
      </x:c>
      <x:c r="P13" s="3" t="str">
        <x:v>QA console / PowerShell step 5 / 20261027-065343</x:v>
      </x:c>
      <x:c r="Q13" s="3" t="str">
        <x:v>Pass</x:v>
      </x:c>
      <x:c r="R13" s="3"/>
      <x:c r="S13" s="3"/>
      <x:c r="T13" s="3"/>
      <x:c r="U13" s="3"/>
      <x:c r="V13" s="3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14" ht="56" customHeight="1">
      <x:c r="A14" s="6" t="str">
        <x:v>UNIT-013</x:v>
      </x:c>
      <x:c r="B14" s="6" t="str">
        <x:v>Domain.PaymentStateMachineTests.AssertTransition_ThrowsInvalidOperationException_WhenTransitionDisallowed</x:v>
      </x:c>
      <x:c r="C14" s="6" t="str">
        <x:v>Chưa ánh xạ FR chính thức; source PR #14</x:v>
      </x:c>
      <x:c r="D14" s="6" t="str">
        <x:v>N/A — yêu cầu BR chưa được đối chiếu</x:v>
      </x:c>
      <x:c r="E14" s="6" t="str">
        <x:v>US-D02 (parent story SPARK-247)</x:v>
      </x:c>
      <x:c r="F14" s="6" t="str">
        <x:v>Chưa đối chiếu UC</x:v>
      </x:c>
      <x:c r="G14" s="6" t="str">
        <x:v>N/A — .NET unit test (internal class/method)</x:v>
      </x:c>
      <x:c r="H14" s="6" t="str">
        <x:v>SPARK-250</x:v>
      </x:c>
      <x:c r="I14" s="6" t="str">
        <x:v>Unit / automated xUnit (dev tests; QA rerun)</x:v>
      </x:c>
      <x:c r="J14" s="6" t="str">
        <x:v>Medium</x:v>
      </x:c>
      <x:c r="K14" s="6" t="str">
        <x:v>QA commit 5995394ef27c; environment per execution log</x:v>
      </x:c>
      <x:c r="L14" s="6" t="str">
        <x:v>Backend unit/DI; synthetic local data; no real payment</x:v>
      </x:c>
      <x:c r="M14" s="6" t="str">
        <x:v>dotnet test PaymentService test project; inspect named xUnit case + summary 80/80.</x:v>
      </x:c>
      <x:c r="N14" s="6" t="str">
        <x:v>xUnit assertion recorded in source; independent acceptance oracle NOT reviewed. Expected runner result: test Pass; not proof of live business behavior.</x:v>
      </x:c>
      <x:c r="O14" s="6" t="str">
        <x:v>PASS từ dotnet test; 80 tests tổng cộng; 0 fail, 0 skip</x:v>
      </x:c>
      <x:c r="P14" s="6" t="str">
        <x:v>QA console / PowerShell step 5 / 20261027-065343</x:v>
      </x:c>
      <x:c r="Q14" s="6" t="str">
        <x:v>Pass</x:v>
      </x:c>
      <x:c r="R14" s="6"/>
      <x:c r="S14" s="6"/>
      <x:c r="T14" s="6"/>
      <x:c r="U14" s="6"/>
      <x:c r="V14" s="6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15" ht="56" customHeight="1">
      <x:c r="A15" s="3" t="str">
        <x:v>UNIT-014</x:v>
      </x:c>
      <x:c r="B15" s="3" t="str">
        <x:v>Domain.PaymentStateMachineTests.IsRetryAllowed_RespectsMaxRetryLimit(retryCount: 1, expected: True)</x:v>
      </x:c>
      <x:c r="C15" s="3" t="str">
        <x:v>Chưa ánh xạ FR chính thức; source PR #14</x:v>
      </x:c>
      <x:c r="D15" s="3" t="str">
        <x:v>N/A — yêu cầu BR chưa được đối chiếu</x:v>
      </x:c>
      <x:c r="E15" s="3" t="str">
        <x:v>US-D02 (parent story SPARK-247)</x:v>
      </x:c>
      <x:c r="F15" s="3" t="str">
        <x:v>Chưa đối chiếu UC</x:v>
      </x:c>
      <x:c r="G15" s="3" t="str">
        <x:v>N/A — .NET unit test (internal class/method)</x:v>
      </x:c>
      <x:c r="H15" s="3" t="str">
        <x:v>SPARK-250</x:v>
      </x:c>
      <x:c r="I15" s="3" t="str">
        <x:v>Unit / automated xUnit (dev tests; QA rerun)</x:v>
      </x:c>
      <x:c r="J15" s="3" t="str">
        <x:v>Medium</x:v>
      </x:c>
      <x:c r="K15" s="3" t="str">
        <x:v>QA commit 5995394ef27c; environment per execution log</x:v>
      </x:c>
      <x:c r="L15" s="3" t="str">
        <x:v>Backend unit/DI; synthetic local data; no real payment</x:v>
      </x:c>
      <x:c r="M15" s="3" t="str">
        <x:v>dotnet test PaymentService test project; inspect named xUnit case + summary 80/80.</x:v>
      </x:c>
      <x:c r="N15" s="3" t="str">
        <x:v>xUnit assertion recorded in source; independent acceptance oracle NOT reviewed. Expected runner result: test Pass; not proof of live business behavior.</x:v>
      </x:c>
      <x:c r="O15" s="3" t="str">
        <x:v>PASS từ dotnet test; 80 tests tổng cộng; 0 fail, 0 skip</x:v>
      </x:c>
      <x:c r="P15" s="3" t="str">
        <x:v>QA console / PowerShell step 5 / 20261027-065343</x:v>
      </x:c>
      <x:c r="Q15" s="3" t="str">
        <x:v>Pass</x:v>
      </x:c>
      <x:c r="R15" s="3"/>
      <x:c r="S15" s="3"/>
      <x:c r="T15" s="3"/>
      <x:c r="U15" s="3"/>
      <x:c r="V15" s="3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16" ht="56" customHeight="1">
      <x:c r="A16" s="6" t="str">
        <x:v>UNIT-015</x:v>
      </x:c>
      <x:c r="B16" s="6" t="str">
        <x:v>Domain.PaymentStateMachineTests.IsRetryAllowed_RespectsMaxRetryLimit(retryCount: 0, expected: True)</x:v>
      </x:c>
      <x:c r="C16" s="6" t="str">
        <x:v>Chưa ánh xạ FR chính thức; source PR #14</x:v>
      </x:c>
      <x:c r="D16" s="6" t="str">
        <x:v>N/A — yêu cầu BR chưa được đối chiếu</x:v>
      </x:c>
      <x:c r="E16" s="6" t="str">
        <x:v>US-D02 (parent story SPARK-247)</x:v>
      </x:c>
      <x:c r="F16" s="6" t="str">
        <x:v>Chưa đối chiếu UC</x:v>
      </x:c>
      <x:c r="G16" s="6" t="str">
        <x:v>N/A — .NET unit test (internal class/method)</x:v>
      </x:c>
      <x:c r="H16" s="6" t="str">
        <x:v>SPARK-250</x:v>
      </x:c>
      <x:c r="I16" s="6" t="str">
        <x:v>Unit / automated xUnit (dev tests; QA rerun)</x:v>
      </x:c>
      <x:c r="J16" s="6" t="str">
        <x:v>Medium</x:v>
      </x:c>
      <x:c r="K16" s="6" t="str">
        <x:v>QA commit 5995394ef27c; environment per execution log</x:v>
      </x:c>
      <x:c r="L16" s="6" t="str">
        <x:v>Backend unit/DI; synthetic local data; no real payment</x:v>
      </x:c>
      <x:c r="M16" s="6" t="str">
        <x:v>dotnet test PaymentService test project; inspect named xUnit case + summary 80/80.</x:v>
      </x:c>
      <x:c r="N16" s="6" t="str">
        <x:v>xUnit assertion recorded in source; independent acceptance oracle NOT reviewed. Expected runner result: test Pass; not proof of live business behavior.</x:v>
      </x:c>
      <x:c r="O16" s="6" t="str">
        <x:v>PASS từ dotnet test; 80 tests tổng cộng; 0 fail, 0 skip</x:v>
      </x:c>
      <x:c r="P16" s="6" t="str">
        <x:v>QA console / PowerShell step 5 / 20261027-065343</x:v>
      </x:c>
      <x:c r="Q16" s="6" t="str">
        <x:v>Pass</x:v>
      </x:c>
      <x:c r="R16" s="6"/>
      <x:c r="S16" s="6"/>
      <x:c r="T16" s="6"/>
      <x:c r="U16" s="6"/>
      <x:c r="V16" s="6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17" ht="56" customHeight="1">
      <x:c r="A17" s="3" t="str">
        <x:v>UNIT-016</x:v>
      </x:c>
      <x:c r="B17" s="3" t="str">
        <x:v>Domain.PaymentStateMachineTests.IsRetryAllowed_RespectsMaxRetryLimit(retryCount: 4, expected: False)</x:v>
      </x:c>
      <x:c r="C17" s="3" t="str">
        <x:v>Chưa ánh xạ FR chính thức; source PR #14</x:v>
      </x:c>
      <x:c r="D17" s="3" t="str">
        <x:v>N/A — yêu cầu BR chưa được đối chiếu</x:v>
      </x:c>
      <x:c r="E17" s="3" t="str">
        <x:v>US-D02 (parent story SPARK-247)</x:v>
      </x:c>
      <x:c r="F17" s="3" t="str">
        <x:v>Chưa đối chiếu UC</x:v>
      </x:c>
      <x:c r="G17" s="3" t="str">
        <x:v>N/A — .NET unit test (internal class/method)</x:v>
      </x:c>
      <x:c r="H17" s="3" t="str">
        <x:v>SPARK-250</x:v>
      </x:c>
      <x:c r="I17" s="3" t="str">
        <x:v>Unit / automated xUnit (dev tests; QA rerun)</x:v>
      </x:c>
      <x:c r="J17" s="3" t="str">
        <x:v>Medium</x:v>
      </x:c>
      <x:c r="K17" s="3" t="str">
        <x:v>QA commit 5995394ef27c; environment per execution log</x:v>
      </x:c>
      <x:c r="L17" s="3" t="str">
        <x:v>Backend unit/DI; synthetic local data; no real payment</x:v>
      </x:c>
      <x:c r="M17" s="3" t="str">
        <x:v>dotnet test PaymentService test project; inspect named xUnit case + summary 80/80.</x:v>
      </x:c>
      <x:c r="N17" s="3" t="str">
        <x:v>xUnit assertion recorded in source; independent acceptance oracle NOT reviewed. Expected runner result: test Pass; not proof of live business behavior.</x:v>
      </x:c>
      <x:c r="O17" s="3" t="str">
        <x:v>PASS từ dotnet test; 80 tests tổng cộng; 0 fail, 0 skip</x:v>
      </x:c>
      <x:c r="P17" s="3" t="str">
        <x:v>QA console / PowerShell step 5 / 20261027-065343</x:v>
      </x:c>
      <x:c r="Q17" s="3" t="str">
        <x:v>Pass</x:v>
      </x:c>
      <x:c r="R17" s="3"/>
      <x:c r="S17" s="3"/>
      <x:c r="T17" s="3"/>
      <x:c r="U17" s="3"/>
      <x:c r="V17" s="3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18" ht="56" customHeight="1">
      <x:c r="A18" s="6" t="str">
        <x:v>UNIT-017</x:v>
      </x:c>
      <x:c r="B18" s="6" t="str">
        <x:v>Domain.PaymentStateMachineTests.IsRetryAllowed_RespectsMaxRetryLimit(retryCount: 3, expected: False)</x:v>
      </x:c>
      <x:c r="C18" s="6" t="str">
        <x:v>Chưa ánh xạ FR chính thức; source PR #14</x:v>
      </x:c>
      <x:c r="D18" s="6" t="str">
        <x:v>N/A — yêu cầu BR chưa được đối chiếu</x:v>
      </x:c>
      <x:c r="E18" s="6" t="str">
        <x:v>US-D02 (parent story SPARK-247)</x:v>
      </x:c>
      <x:c r="F18" s="6" t="str">
        <x:v>Chưa đối chiếu UC</x:v>
      </x:c>
      <x:c r="G18" s="6" t="str">
        <x:v>N/A — .NET unit test (internal class/method)</x:v>
      </x:c>
      <x:c r="H18" s="6" t="str">
        <x:v>SPARK-250</x:v>
      </x:c>
      <x:c r="I18" s="6" t="str">
        <x:v>Unit / automated xUnit (dev tests; QA rerun)</x:v>
      </x:c>
      <x:c r="J18" s="6" t="str">
        <x:v>Medium</x:v>
      </x:c>
      <x:c r="K18" s="6" t="str">
        <x:v>QA commit 5995394ef27c; environment per execution log</x:v>
      </x:c>
      <x:c r="L18" s="6" t="str">
        <x:v>Backend unit/DI; synthetic local data; no real payment</x:v>
      </x:c>
      <x:c r="M18" s="6" t="str">
        <x:v>dotnet test PaymentService test project; inspect named xUnit case + summary 80/80.</x:v>
      </x:c>
      <x:c r="N18" s="6" t="str">
        <x:v>xUnit assertion recorded in source; independent acceptance oracle NOT reviewed. Expected runner result: test Pass; not proof of live business behavior.</x:v>
      </x:c>
      <x:c r="O18" s="6" t="str">
        <x:v>PASS từ dotnet test; 80 tests tổng cộng; 0 fail, 0 skip</x:v>
      </x:c>
      <x:c r="P18" s="6" t="str">
        <x:v>QA console / PowerShell step 5 / 20261027-065343</x:v>
      </x:c>
      <x:c r="Q18" s="6" t="str">
        <x:v>Pass</x:v>
      </x:c>
      <x:c r="R18" s="6"/>
      <x:c r="S18" s="6"/>
      <x:c r="T18" s="6"/>
      <x:c r="U18" s="6"/>
      <x:c r="V18" s="6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19" ht="56" customHeight="1">
      <x:c r="A19" s="3" t="str">
        <x:v>UNIT-018</x:v>
      </x:c>
      <x:c r="B19" s="3" t="str">
        <x:v>Domain.PaymentStateMachineTests.IsRetryAllowed_RespectsMaxRetryLimit(retryCount: 2, expected: True)</x:v>
      </x:c>
      <x:c r="C19" s="3" t="str">
        <x:v>Chưa ánh xạ FR chính thức; source PR #14</x:v>
      </x:c>
      <x:c r="D19" s="3" t="str">
        <x:v>N/A — yêu cầu BR chưa được đối chiếu</x:v>
      </x:c>
      <x:c r="E19" s="3" t="str">
        <x:v>US-D02 (parent story SPARK-247)</x:v>
      </x:c>
      <x:c r="F19" s="3" t="str">
        <x:v>Chưa đối chiếu UC</x:v>
      </x:c>
      <x:c r="G19" s="3" t="str">
        <x:v>N/A — .NET unit test (internal class/method)</x:v>
      </x:c>
      <x:c r="H19" s="3" t="str">
        <x:v>SPARK-250</x:v>
      </x:c>
      <x:c r="I19" s="3" t="str">
        <x:v>Unit / automated xUnit (dev tests; QA rerun)</x:v>
      </x:c>
      <x:c r="J19" s="3" t="str">
        <x:v>Medium</x:v>
      </x:c>
      <x:c r="K19" s="3" t="str">
        <x:v>QA commit 5995394ef27c; environment per execution log</x:v>
      </x:c>
      <x:c r="L19" s="3" t="str">
        <x:v>Backend unit/DI; synthetic local data; no real payment</x:v>
      </x:c>
      <x:c r="M19" s="3" t="str">
        <x:v>dotnet test PaymentService test project; inspect named xUnit case + summary 80/80.</x:v>
      </x:c>
      <x:c r="N19" s="3" t="str">
        <x:v>xUnit assertion recorded in source; independent acceptance oracle NOT reviewed. Expected runner result: test Pass; not proof of live business behavior.</x:v>
      </x:c>
      <x:c r="O19" s="3" t="str">
        <x:v>PASS từ dotnet test; 80 tests tổng cộng; 0 fail, 0 skip</x:v>
      </x:c>
      <x:c r="P19" s="3" t="str">
        <x:v>QA console / PowerShell step 5 / 20261027-065343</x:v>
      </x:c>
      <x:c r="Q19" s="3" t="str">
        <x:v>Pass</x:v>
      </x:c>
      <x:c r="R19" s="3"/>
      <x:c r="S19" s="3"/>
      <x:c r="T19" s="3"/>
      <x:c r="U19" s="3"/>
      <x:c r="V19" s="3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20" ht="56" customHeight="1">
      <x:c r="A20" s="6" t="str">
        <x:v>UNIT-019</x:v>
      </x:c>
      <x:c r="B20" s="6" t="str">
        <x:v>Domain.PaymentStateMachineTests.PaymentTransaction_MarkFailed_ThrowsIfAlreadySuccess</x:v>
      </x:c>
      <x:c r="C20" s="6" t="str">
        <x:v>Chưa ánh xạ FR chính thức; source PR #14</x:v>
      </x:c>
      <x:c r="D20" s="6" t="str">
        <x:v>N/A — yêu cầu BR chưa được đối chiếu</x:v>
      </x:c>
      <x:c r="E20" s="6" t="str">
        <x:v>US-D02 (parent story SPARK-247)</x:v>
      </x:c>
      <x:c r="F20" s="6" t="str">
        <x:v>Chưa đối chiếu UC</x:v>
      </x:c>
      <x:c r="G20" s="6" t="str">
        <x:v>N/A — .NET unit test (internal class/method)</x:v>
      </x:c>
      <x:c r="H20" s="6" t="str">
        <x:v>SPARK-250</x:v>
      </x:c>
      <x:c r="I20" s="6" t="str">
        <x:v>Unit / automated xUnit (dev tests; QA rerun)</x:v>
      </x:c>
      <x:c r="J20" s="6" t="str">
        <x:v>Medium</x:v>
      </x:c>
      <x:c r="K20" s="6" t="str">
        <x:v>QA commit 5995394ef27c; environment per execution log</x:v>
      </x:c>
      <x:c r="L20" s="6" t="str">
        <x:v>Backend unit/DI; synthetic local data; no real payment</x:v>
      </x:c>
      <x:c r="M20" s="6" t="str">
        <x:v>dotnet test PaymentService test project; inspect named xUnit case + summary 80/80.</x:v>
      </x:c>
      <x:c r="N20" s="6" t="str">
        <x:v>xUnit assertion recorded in source; independent acceptance oracle NOT reviewed. Expected runner result: test Pass; not proof of live business behavior.</x:v>
      </x:c>
      <x:c r="O20" s="6" t="str">
        <x:v>PASS từ dotnet test; 80 tests tổng cộng; 0 fail, 0 skip</x:v>
      </x:c>
      <x:c r="P20" s="6" t="str">
        <x:v>QA console / PowerShell step 5 / 20261027-065343</x:v>
      </x:c>
      <x:c r="Q20" s="6" t="str">
        <x:v>Pass</x:v>
      </x:c>
      <x:c r="R20" s="6"/>
      <x:c r="S20" s="6"/>
      <x:c r="T20" s="6"/>
      <x:c r="U20" s="6"/>
      <x:c r="V20" s="6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21" ht="56" customHeight="1">
      <x:c r="A21" s="3" t="str">
        <x:v>UNIT-020</x:v>
      </x:c>
      <x:c r="B21" s="3" t="str">
        <x:v>Domain.ParkingPricingCalculatorTests.TC_PRICE_05_MidnightCrossing_WithRounding_ShouldRoundHalfUpAtEnd</x:v>
      </x:c>
      <x:c r="C21" s="3" t="str">
        <x:v>Chưa ánh xạ FR chính thức; source PR #14</x:v>
      </x:c>
      <x:c r="D21" s="3" t="str">
        <x:v>N/A — yêu cầu BR chưa được đối chiếu</x:v>
      </x:c>
      <x:c r="E21" s="3" t="str">
        <x:v>Chưa đối chiếu US</x:v>
      </x:c>
      <x:c r="F21" s="3" t="str">
        <x:v>Chưa đối chiếu UC</x:v>
      </x:c>
      <x:c r="G21" s="3" t="str">
        <x:v>N/A — .NET unit test (internal class/method)</x:v>
      </x:c>
      <x:c r="H21" s="3" t="str">
        <x:v>SPARK-229 (pricing regression; verify issue mapping)</x:v>
      </x:c>
      <x:c r="I21" s="3" t="str">
        <x:v>Unit / automated xUnit (dev tests; QA rerun)</x:v>
      </x:c>
      <x:c r="J21" s="3" t="str">
        <x:v>Medium</x:v>
      </x:c>
      <x:c r="K21" s="3" t="str">
        <x:v>QA commit 5995394ef27c; environment per execution log</x:v>
      </x:c>
      <x:c r="L21" s="3" t="str">
        <x:v>Backend unit/DI; synthetic local data; no real payment</x:v>
      </x:c>
      <x:c r="M21" s="3" t="str">
        <x:v>dotnet test PaymentService test project; inspect named xUnit case + summary 80/80.</x:v>
      </x:c>
      <x:c r="N21" s="3" t="str">
        <x:v>xUnit assertion recorded in source; independent acceptance oracle NOT reviewed. Expected runner result: test Pass; not proof of live business behavior.</x:v>
      </x:c>
      <x:c r="O21" s="3" t="str">
        <x:v>PASS từ dotnet test; 80 tests tổng cộng; 0 fail, 0 skip</x:v>
      </x:c>
      <x:c r="P21" s="3" t="str">
        <x:v>QA console / PowerShell step 5 / 20261027-065343</x:v>
      </x:c>
      <x:c r="Q21" s="3" t="str">
        <x:v>Pass</x:v>
      </x:c>
      <x:c r="R21" s="3"/>
      <x:c r="S21" s="3"/>
      <x:c r="T21" s="3"/>
      <x:c r="U21" s="3"/>
      <x:c r="V21" s="3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22" ht="56" customHeight="1">
      <x:c r="A22" s="6" t="str">
        <x:v>UNIT-021</x:v>
      </x:c>
      <x:c r="B22" s="6" t="str">
        <x:v>Domain.PaymentStateMachineTests.PaymentTransaction_MarkSuccess_SetsStatusAndDetails</x:v>
      </x:c>
      <x:c r="C22" s="6" t="str">
        <x:v>Chưa ánh xạ FR chính thức; source PR #14</x:v>
      </x:c>
      <x:c r="D22" s="6" t="str">
        <x:v>N/A — yêu cầu BR chưa được đối chiếu</x:v>
      </x:c>
      <x:c r="E22" s="6" t="str">
        <x:v>US-D02 (parent story SPARK-247)</x:v>
      </x:c>
      <x:c r="F22" s="6" t="str">
        <x:v>Chưa đối chiếu UC</x:v>
      </x:c>
      <x:c r="G22" s="6" t="str">
        <x:v>N/A — .NET unit test (internal class/method)</x:v>
      </x:c>
      <x:c r="H22" s="6" t="str">
        <x:v>SPARK-250</x:v>
      </x:c>
      <x:c r="I22" s="6" t="str">
        <x:v>Unit / automated xUnit (dev tests; QA rerun)</x:v>
      </x:c>
      <x:c r="J22" s="6" t="str">
        <x:v>Medium</x:v>
      </x:c>
      <x:c r="K22" s="6" t="str">
        <x:v>QA commit 5995394ef27c; environment per execution log</x:v>
      </x:c>
      <x:c r="L22" s="6" t="str">
        <x:v>Backend unit/DI; synthetic local data; no real payment</x:v>
      </x:c>
      <x:c r="M22" s="6" t="str">
        <x:v>dotnet test PaymentService test project; inspect named xUnit case + summary 80/80.</x:v>
      </x:c>
      <x:c r="N22" s="6" t="str">
        <x:v>xUnit assertion recorded in source; independent acceptance oracle NOT reviewed. Expected runner result: test Pass; not proof of live business behavior.</x:v>
      </x:c>
      <x:c r="O22" s="6" t="str">
        <x:v>PASS từ dotnet test; 80 tests tổng cộng; 0 fail, 0 skip</x:v>
      </x:c>
      <x:c r="P22" s="6" t="str">
        <x:v>QA console / PowerShell step 5 / 20261027-065343</x:v>
      </x:c>
      <x:c r="Q22" s="6" t="str">
        <x:v>Pass</x:v>
      </x:c>
      <x:c r="R22" s="6"/>
      <x:c r="S22" s="6"/>
      <x:c r="T22" s="6"/>
      <x:c r="U22" s="6"/>
      <x:c r="V22" s="6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23" ht="56" customHeight="1">
      <x:c r="A23" s="3" t="str">
        <x:v>UNIT-022</x:v>
      </x:c>
      <x:c r="B23" s="3" t="str">
        <x:v>Domain.PaymentStateMachineTests.PaymentOrder_MarkPaid_UpdatesStatusAndTimestamp</x:v>
      </x:c>
      <x:c r="C23" s="3" t="str">
        <x:v>Chưa ánh xạ FR chính thức; source PR #14</x:v>
      </x:c>
      <x:c r="D23" s="3" t="str">
        <x:v>N/A — yêu cầu BR chưa được đối chiếu</x:v>
      </x:c>
      <x:c r="E23" s="3" t="str">
        <x:v>US-D02 (parent story SPARK-247)</x:v>
      </x:c>
      <x:c r="F23" s="3" t="str">
        <x:v>Chưa đối chiếu UC</x:v>
      </x:c>
      <x:c r="G23" s="3" t="str">
        <x:v>N/A — .NET unit test (internal class/method)</x:v>
      </x:c>
      <x:c r="H23" s="3" t="str">
        <x:v>SPARK-250</x:v>
      </x:c>
      <x:c r="I23" s="3" t="str">
        <x:v>Unit / automated xUnit (dev tests; QA rerun)</x:v>
      </x:c>
      <x:c r="J23" s="3" t="str">
        <x:v>Medium</x:v>
      </x:c>
      <x:c r="K23" s="3" t="str">
        <x:v>QA commit 5995394ef27c; environment per execution log</x:v>
      </x:c>
      <x:c r="L23" s="3" t="str">
        <x:v>Backend unit/DI; synthetic local data; no real payment</x:v>
      </x:c>
      <x:c r="M23" s="3" t="str">
        <x:v>dotnet test PaymentService test project; inspect named xUnit case + summary 80/80.</x:v>
      </x:c>
      <x:c r="N23" s="3" t="str">
        <x:v>xUnit assertion recorded in source; independent acceptance oracle NOT reviewed. Expected runner result: test Pass; not proof of live business behavior.</x:v>
      </x:c>
      <x:c r="O23" s="3" t="str">
        <x:v>PASS từ dotnet test; 80 tests tổng cộng; 0 fail, 0 skip</x:v>
      </x:c>
      <x:c r="P23" s="3" t="str">
        <x:v>QA console / PowerShell step 5 / 20261027-065343</x:v>
      </x:c>
      <x:c r="Q23" s="3" t="str">
        <x:v>Pass</x:v>
      </x:c>
      <x:c r="R23" s="3"/>
      <x:c r="S23" s="3"/>
      <x:c r="T23" s="3"/>
      <x:c r="U23" s="3"/>
      <x:c r="V23" s="3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24" ht="56" customHeight="1">
      <x:c r="A24" s="6" t="str">
        <x:v>UNIT-023</x:v>
      </x:c>
      <x:c r="B24" s="6" t="str">
        <x:v>Domain.PaymentStateMachineTests.AssertTransition_Succeeds_WhenTransitionAllowed</x:v>
      </x:c>
      <x:c r="C24" s="6" t="str">
        <x:v>Chưa ánh xạ FR chính thức; source PR #14</x:v>
      </x:c>
      <x:c r="D24" s="6" t="str">
        <x:v>N/A — yêu cầu BR chưa được đối chiếu</x:v>
      </x:c>
      <x:c r="E24" s="6" t="str">
        <x:v>US-D02 (parent story SPARK-247)</x:v>
      </x:c>
      <x:c r="F24" s="6" t="str">
        <x:v>Chưa đối chiếu UC</x:v>
      </x:c>
      <x:c r="G24" s="6" t="str">
        <x:v>N/A — .NET unit test (internal class/method)</x:v>
      </x:c>
      <x:c r="H24" s="6" t="str">
        <x:v>SPARK-250</x:v>
      </x:c>
      <x:c r="I24" s="6" t="str">
        <x:v>Unit / automated xUnit (dev tests; QA rerun)</x:v>
      </x:c>
      <x:c r="J24" s="6" t="str">
        <x:v>Medium</x:v>
      </x:c>
      <x:c r="K24" s="6" t="str">
        <x:v>QA commit 5995394ef27c; environment per execution log</x:v>
      </x:c>
      <x:c r="L24" s="6" t="str">
        <x:v>Backend unit/DI; synthetic local data; no real payment</x:v>
      </x:c>
      <x:c r="M24" s="6" t="str">
        <x:v>dotnet test PaymentService test project; inspect named xUnit case + summary 80/80.</x:v>
      </x:c>
      <x:c r="N24" s="6" t="str">
        <x:v>xUnit assertion recorded in source; independent acceptance oracle NOT reviewed. Expected runner result: test Pass; not proof of live business behavior.</x:v>
      </x:c>
      <x:c r="O24" s="6" t="str">
        <x:v>PASS từ dotnet test; 80 tests tổng cộng; 0 fail, 0 skip</x:v>
      </x:c>
      <x:c r="P24" s="6" t="str">
        <x:v>QA console / PowerShell step 5 / 20261027-065343</x:v>
      </x:c>
      <x:c r="Q24" s="6" t="str">
        <x:v>Pass</x:v>
      </x:c>
      <x:c r="R24" s="6"/>
      <x:c r="S24" s="6"/>
      <x:c r="T24" s="6"/>
      <x:c r="U24" s="6"/>
      <x:c r="V24" s="6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25" ht="56" customHeight="1">
      <x:c r="A25" s="3" t="str">
        <x:v>UNIT-024</x:v>
      </x:c>
      <x:c r="B25" s="3" t="str">
        <x:v>Application.CalculateParkingFeeQueryHandlerTests.Handle_WithPolicyOverride_UsesOverrideWithoutCallingPorts</x:v>
      </x:c>
      <x:c r="C25" s="3" t="str">
        <x:v>Chưa ánh xạ FR chính thức; source PR #14</x:v>
      </x:c>
      <x:c r="D25" s="3" t="str">
        <x:v>N/A — yêu cầu BR chưa được đối chiếu</x:v>
      </x:c>
      <x:c r="E25" s="3" t="str">
        <x:v>US-D02 (parent story SPARK-247)</x:v>
      </x:c>
      <x:c r="F25" s="3" t="str">
        <x:v>Chưa đối chiếu UC</x:v>
      </x:c>
      <x:c r="G25" s="3" t="str">
        <x:v>N/A — .NET unit test (internal class/method)</x:v>
      </x:c>
      <x:c r="H25" s="3" t="str">
        <x:v>SPARK-229 (pricing regression; verify issue mapping)</x:v>
      </x:c>
      <x:c r="I25" s="3" t="str">
        <x:v>Unit / automated xUnit (dev tests; QA rerun)</x:v>
      </x:c>
      <x:c r="J25" s="3" t="str">
        <x:v>Medium</x:v>
      </x:c>
      <x:c r="K25" s="3" t="str">
        <x:v>QA commit 5995394ef27c; environment per execution log</x:v>
      </x:c>
      <x:c r="L25" s="3" t="str">
        <x:v>Backend unit/DI; synthetic local data; no real payment</x:v>
      </x:c>
      <x:c r="M25" s="3" t="str">
        <x:v>dotnet test PaymentService test project; inspect named xUnit case + summary 80/80.</x:v>
      </x:c>
      <x:c r="N25" s="3" t="str">
        <x:v>xUnit assertion recorded in source; independent acceptance oracle NOT reviewed. Expected runner result: test Pass; not proof of live business behavior.</x:v>
      </x:c>
      <x:c r="O25" s="3" t="str">
        <x:v>PASS từ dotnet test; 80 tests tổng cộng; 0 fail, 0 skip</x:v>
      </x:c>
      <x:c r="P25" s="3" t="str">
        <x:v>QA console / PowerShell step 5 / 20261027-065343</x:v>
      </x:c>
      <x:c r="Q25" s="3" t="str">
        <x:v>Pass</x:v>
      </x:c>
      <x:c r="R25" s="3"/>
      <x:c r="S25" s="3"/>
      <x:c r="T25" s="3"/>
      <x:c r="U25" s="3"/>
      <x:c r="V25" s="3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26" ht="56" customHeight="1">
      <x:c r="A26" s="6" t="str">
        <x:v>UNIT-025</x:v>
      </x:c>
      <x:c r="B26" s="6" t="str">
        <x:v>Application.CalculateParkingFeeQueryHandlerTests.Handle_WithValidReservationId_UsesSnapshotFromPort</x:v>
      </x:c>
      <x:c r="C26" s="6" t="str">
        <x:v>Chưa ánh xạ FR chính thức; source PR #14</x:v>
      </x:c>
      <x:c r="D26" s="6" t="str">
        <x:v>N/A — yêu cầu BR chưa được đối chiếu</x:v>
      </x:c>
      <x:c r="E26" s="6" t="str">
        <x:v>US-D02 (parent story SPARK-247)</x:v>
      </x:c>
      <x:c r="F26" s="6" t="str">
        <x:v>Chưa đối chiếu UC</x:v>
      </x:c>
      <x:c r="G26" s="6" t="str">
        <x:v>N/A — .NET unit test (internal class/method)</x:v>
      </x:c>
      <x:c r="H26" s="6" t="str">
        <x:v>SPARK-229 (pricing regression; verify issue mapping)</x:v>
      </x:c>
      <x:c r="I26" s="6" t="str">
        <x:v>Unit / automated xUnit (dev tests; QA rerun)</x:v>
      </x:c>
      <x:c r="J26" s="6" t="str">
        <x:v>Medium</x:v>
      </x:c>
      <x:c r="K26" s="6" t="str">
        <x:v>QA commit 5995394ef27c; environment per execution log</x:v>
      </x:c>
      <x:c r="L26" s="6" t="str">
        <x:v>Backend unit/DI; synthetic local data; no real payment</x:v>
      </x:c>
      <x:c r="M26" s="6" t="str">
        <x:v>dotnet test PaymentService test project; inspect named xUnit case + summary 80/80.</x:v>
      </x:c>
      <x:c r="N26" s="6" t="str">
        <x:v>xUnit assertion recorded in source; independent acceptance oracle NOT reviewed. Expected runner result: test Pass; not proof of live business behavior.</x:v>
      </x:c>
      <x:c r="O26" s="6" t="str">
        <x:v>PASS từ dotnet test; 80 tests tổng cộng; 0 fail, 0 skip</x:v>
      </x:c>
      <x:c r="P26" s="6" t="str">
        <x:v>QA console / PowerShell step 5 / 20261027-065343</x:v>
      </x:c>
      <x:c r="Q26" s="6" t="str">
        <x:v>Pass</x:v>
      </x:c>
      <x:c r="R26" s="6"/>
      <x:c r="S26" s="6"/>
      <x:c r="T26" s="6"/>
      <x:c r="U26" s="6"/>
      <x:c r="V26" s="6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27" ht="56" customHeight="1">
      <x:c r="A27" s="3" t="str">
        <x:v>UNIT-026</x:v>
      </x:c>
      <x:c r="B27" s="3" t="str">
        <x:v>Application.CalculateParkingFeeQueryHandlerTests.Handle_WithCorruptedOrMissingReservationSnapshot_ThrowsCorruptedPolicySnapshotException_AndNeverCallsTariffPort</x:v>
      </x:c>
      <x:c r="C27" s="3" t="str">
        <x:v>Chưa ánh xạ FR chính thức; source PR #14</x:v>
      </x:c>
      <x:c r="D27" s="3" t="str">
        <x:v>N/A — yêu cầu BR chưa được đối chiếu</x:v>
      </x:c>
      <x:c r="E27" s="3" t="str">
        <x:v>US-D02 (parent story SPARK-247)</x:v>
      </x:c>
      <x:c r="F27" s="3" t="str">
        <x:v>Chưa đối chiếu UC</x:v>
      </x:c>
      <x:c r="G27" s="3" t="str">
        <x:v>N/A — .NET unit test (internal class/method)</x:v>
      </x:c>
      <x:c r="H27" s="3" t="str">
        <x:v>SPARK-229 (pricing regression; verify issue mapping)</x:v>
      </x:c>
      <x:c r="I27" s="3" t="str">
        <x:v>Unit / automated xUnit (dev tests; QA rerun)</x:v>
      </x:c>
      <x:c r="J27" s="3" t="str">
        <x:v>Medium</x:v>
      </x:c>
      <x:c r="K27" s="3" t="str">
        <x:v>QA commit 5995394ef27c; environment per execution log</x:v>
      </x:c>
      <x:c r="L27" s="3" t="str">
        <x:v>Backend unit/DI; synthetic local data; no real payment</x:v>
      </x:c>
      <x:c r="M27" s="3" t="str">
        <x:v>dotnet test PaymentService test project; inspect named xUnit case + summary 80/80.</x:v>
      </x:c>
      <x:c r="N27" s="3" t="str">
        <x:v>xUnit assertion recorded in source; independent acceptance oracle NOT reviewed. Expected runner result: test Pass; not proof of live business behavior.</x:v>
      </x:c>
      <x:c r="O27" s="3" t="str">
        <x:v>PASS từ dotnet test; 80 tests tổng cộng; 0 fail, 0 skip</x:v>
      </x:c>
      <x:c r="P27" s="3" t="str">
        <x:v>QA console / PowerShell step 5 / 20261027-065343</x:v>
      </x:c>
      <x:c r="Q27" s="3" t="str">
        <x:v>Pass</x:v>
      </x:c>
      <x:c r="R27" s="3"/>
      <x:c r="S27" s="3"/>
      <x:c r="T27" s="3"/>
      <x:c r="U27" s="3"/>
      <x:c r="V27" s="3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28" ht="56" customHeight="1">
      <x:c r="A28" s="6" t="str">
        <x:v>UNIT-027</x:v>
      </x:c>
      <x:c r="B28" s="6" t="str">
        <x:v>Application.CalculateParkingFeeQueryHandlerTests.Handle_WalkInWithActiveTariff_CalculatesSuccessfully</x:v>
      </x:c>
      <x:c r="C28" s="6" t="str">
        <x:v>Chưa ánh xạ FR chính thức; source PR #14</x:v>
      </x:c>
      <x:c r="D28" s="6" t="str">
        <x:v>N/A — yêu cầu BR chưa được đối chiếu</x:v>
      </x:c>
      <x:c r="E28" s="6" t="str">
        <x:v>US-D02 (parent story SPARK-247)</x:v>
      </x:c>
      <x:c r="F28" s="6" t="str">
        <x:v>Chưa đối chiếu UC</x:v>
      </x:c>
      <x:c r="G28" s="6" t="str">
        <x:v>N/A — .NET unit test (internal class/method)</x:v>
      </x:c>
      <x:c r="H28" s="6" t="str">
        <x:v>SPARK-229 (pricing regression; verify issue mapping)</x:v>
      </x:c>
      <x:c r="I28" s="6" t="str">
        <x:v>Unit / automated xUnit (dev tests; QA rerun)</x:v>
      </x:c>
      <x:c r="J28" s="6" t="str">
        <x:v>Medium</x:v>
      </x:c>
      <x:c r="K28" s="6" t="str">
        <x:v>QA commit 5995394ef27c; environment per execution log</x:v>
      </x:c>
      <x:c r="L28" s="6" t="str">
        <x:v>Backend unit/DI; synthetic local data; no real payment</x:v>
      </x:c>
      <x:c r="M28" s="6" t="str">
        <x:v>dotnet test PaymentService test project; inspect named xUnit case + summary 80/80.</x:v>
      </x:c>
      <x:c r="N28" s="6" t="str">
        <x:v>xUnit assertion recorded in source; independent acceptance oracle NOT reviewed. Expected runner result: test Pass; not proof of live business behavior.</x:v>
      </x:c>
      <x:c r="O28" s="6" t="str">
        <x:v>PASS từ dotnet test; 80 tests tổng cộng; 0 fail, 0 skip</x:v>
      </x:c>
      <x:c r="P28" s="6" t="str">
        <x:v>QA console / PowerShell step 5 / 20261027-065343</x:v>
      </x:c>
      <x:c r="Q28" s="6" t="str">
        <x:v>Pass</x:v>
      </x:c>
      <x:c r="R28" s="6"/>
      <x:c r="S28" s="6"/>
      <x:c r="T28" s="6"/>
      <x:c r="U28" s="6"/>
      <x:c r="V28" s="6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29" ht="56" customHeight="1">
      <x:c r="A29" s="3" t="str">
        <x:v>UNIT-028</x:v>
      </x:c>
      <x:c r="B29" s="3" t="str">
        <x:v>Application.CalculateParkingFeeQueryHandlerTests.Handle_WalkInWithNoActiveTariff_ThrowsTariffNotFoundException</x:v>
      </x:c>
      <x:c r="C29" s="3" t="str">
        <x:v>Chưa ánh xạ FR chính thức; source PR #14</x:v>
      </x:c>
      <x:c r="D29" s="3" t="str">
        <x:v>N/A — yêu cầu BR chưa được đối chiếu</x:v>
      </x:c>
      <x:c r="E29" s="3" t="str">
        <x:v>US-D02 (parent story SPARK-247)</x:v>
      </x:c>
      <x:c r="F29" s="3" t="str">
        <x:v>Chưa đối chiếu UC</x:v>
      </x:c>
      <x:c r="G29" s="3" t="str">
        <x:v>N/A — .NET unit test (internal class/method)</x:v>
      </x:c>
      <x:c r="H29" s="3" t="str">
        <x:v>SPARK-229 (pricing regression; verify issue mapping)</x:v>
      </x:c>
      <x:c r="I29" s="3" t="str">
        <x:v>Unit / automated xUnit (dev tests; QA rerun)</x:v>
      </x:c>
      <x:c r="J29" s="3" t="str">
        <x:v>Medium</x:v>
      </x:c>
      <x:c r="K29" s="3" t="str">
        <x:v>QA commit 5995394ef27c; environment per execution log</x:v>
      </x:c>
      <x:c r="L29" s="3" t="str">
        <x:v>Backend unit/DI; synthetic local data; no real payment</x:v>
      </x:c>
      <x:c r="M29" s="3" t="str">
        <x:v>dotnet test PaymentService test project; inspect named xUnit case + summary 80/80.</x:v>
      </x:c>
      <x:c r="N29" s="3" t="str">
        <x:v>xUnit assertion recorded in source; independent acceptance oracle NOT reviewed. Expected runner result: test Pass; not proof of live business behavior.</x:v>
      </x:c>
      <x:c r="O29" s="3" t="str">
        <x:v>PASS từ dotnet test; 80 tests tổng cộng; 0 fail, 0 skip</x:v>
      </x:c>
      <x:c r="P29" s="3" t="str">
        <x:v>QA console / PowerShell step 5 / 20261027-065343</x:v>
      </x:c>
      <x:c r="Q29" s="3" t="str">
        <x:v>Pass</x:v>
      </x:c>
      <x:c r="R29" s="3"/>
      <x:c r="S29" s="3"/>
      <x:c r="T29" s="3"/>
      <x:c r="U29" s="3"/>
      <x:c r="V29" s="3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30" ht="56" customHeight="1">
      <x:c r="A30" s="6" t="str">
        <x:v>UNIT-029</x:v>
      </x:c>
      <x:c r="B30" s="6" t="str">
        <x:v>Application.InitiatePaymentCheckoutCommandHandlerTests.Handle_OrderExpired_ThrowsPaymentDomainException</x:v>
      </x:c>
      <x:c r="C30" s="6" t="str">
        <x:v>Chưa ánh xạ FR chính thức; source PR #14</x:v>
      </x:c>
      <x:c r="D30" s="6" t="str">
        <x:v>N/A — yêu cầu BR chưa được đối chiếu</x:v>
      </x:c>
      <x:c r="E30" s="6" t="str">
        <x:v>US-D02 (parent story SPARK-247)</x:v>
      </x:c>
      <x:c r="F30" s="6" t="str">
        <x:v>Chưa đối chiếu UC</x:v>
      </x:c>
      <x:c r="G30" s="6" t="str">
        <x:v>N/A — .NET unit test (internal class/method)</x:v>
      </x:c>
      <x:c r="H30" s="6" t="str">
        <x:v>SPARK-250</x:v>
      </x:c>
      <x:c r="I30" s="6" t="str">
        <x:v>Unit / automated xUnit (dev tests; QA rerun)</x:v>
      </x:c>
      <x:c r="J30" s="6" t="str">
        <x:v>Medium</x:v>
      </x:c>
      <x:c r="K30" s="6" t="str">
        <x:v>QA commit 5995394ef27c; environment per execution log</x:v>
      </x:c>
      <x:c r="L30" s="6" t="str">
        <x:v>Backend unit/DI; synthetic local data; no real payment</x:v>
      </x:c>
      <x:c r="M30" s="6" t="str">
        <x:v>dotnet test PaymentService test project; inspect named xUnit case + summary 80/80.</x:v>
      </x:c>
      <x:c r="N30" s="6" t="str">
        <x:v>xUnit assertion recorded in source; independent acceptance oracle NOT reviewed. Expected runner result: test Pass; not proof of live business behavior.</x:v>
      </x:c>
      <x:c r="O30" s="6" t="str">
        <x:v>PASS từ dotnet test; 80 tests tổng cộng; 0 fail, 0 skip</x:v>
      </x:c>
      <x:c r="P30" s="6" t="str">
        <x:v>QA console / PowerShell step 5 / 20261027-065343</x:v>
      </x:c>
      <x:c r="Q30" s="6" t="str">
        <x:v>Pass</x:v>
      </x:c>
      <x:c r="R30" s="6"/>
      <x:c r="S30" s="6"/>
      <x:c r="T30" s="6"/>
      <x:c r="U30" s="6"/>
      <x:c r="V30" s="6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31" ht="56" customHeight="1">
      <x:c r="A31" s="18" t="str">
        <x:v>UNIT-030</x:v>
      </x:c>
      <x:c r="B31" s="18" t="str">
        <x:v>Application.GetPaymentStatusQueryHandlerTests.Handle_TransactionNotFound_ThrowsPaymentDomainException</x:v>
      </x:c>
      <x:c r="C31" s="18" t="str">
        <x:v>Chưa ánh xạ FR chính thức; source PR #14</x:v>
      </x:c>
      <x:c r="D31" s="18" t="str">
        <x:v>N/A — yêu cầu BR chưa được đối chiếu</x:v>
      </x:c>
      <x:c r="E31" s="18" t="str">
        <x:v>US-D02 (parent story SPARK-247)</x:v>
      </x:c>
      <x:c r="F31" s="18" t="str">
        <x:v>Chưa đối chiếu UC</x:v>
      </x:c>
      <x:c r="G31" s="18" t="str">
        <x:v>N/A — .NET unit test (internal class/method)</x:v>
      </x:c>
      <x:c r="H31" s="18" t="str">
        <x:v>SPARK-250</x:v>
      </x:c>
      <x:c r="I31" s="18" t="str">
        <x:v>Unit / automated xUnit (dev tests; QA rerun)</x:v>
      </x:c>
      <x:c r="J31" s="18" t="str">
        <x:v>Medium</x:v>
      </x:c>
      <x:c r="K31" s="18" t="str">
        <x:v>QA commit 5995394ef27c; environment per execution log</x:v>
      </x:c>
      <x:c r="L31" s="18" t="str">
        <x:v>Backend unit/DI; synthetic local data; no real payment</x:v>
      </x:c>
      <x:c r="M31" s="18" t="str">
        <x:v>dotnet test PaymentService test project; inspect named xUnit case + summary 80/80.</x:v>
      </x:c>
      <x:c r="N31" s="18" t="str">
        <x:v>xUnit assertion recorded in source; independent acceptance oracle NOT reviewed. Expected runner result: test Pass; not proof of live business behavior.</x:v>
      </x:c>
      <x:c r="O31" s="18" t="str">
        <x:v>PASS từ dotnet test; 80 tests tổng cộng; 0 fail, 0 skip</x:v>
      </x:c>
      <x:c r="P31" s="18" t="str">
        <x:v>QA console / PowerShell step 5 / 20261027-065343</x:v>
      </x:c>
      <x:c r="Q31" s="18" t="str">
        <x:v>Pass</x:v>
      </x:c>
      <x:c r="R31" s="18"/>
      <x:c r="S31" s="18"/>
      <x:c r="T31" s="18"/>
      <x:c r="U31" s="18"/>
      <x:c r="V31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32" ht="56" customHeight="1">
      <x:c r="A32" s="18" t="str">
        <x:v>UNIT-031</x:v>
      </x:c>
      <x:c r="B32" s="18" t="str">
        <x:v>Application.GetPaymentStatusQueryHandlerTests.Handle_TransactionAlreadySuccess_ReturnsAuthoritativeWithoutReconciliation</x:v>
      </x:c>
      <x:c r="C32" s="18" t="str">
        <x:v>Chưa ánh xạ FR chính thức; source PR #14</x:v>
      </x:c>
      <x:c r="D32" s="18" t="str">
        <x:v>N/A — yêu cầu BR chưa được đối chiếu</x:v>
      </x:c>
      <x:c r="E32" s="18" t="str">
        <x:v>US-D02 (parent story SPARK-247)</x:v>
      </x:c>
      <x:c r="F32" s="18" t="str">
        <x:v>Chưa đối chiếu UC</x:v>
      </x:c>
      <x:c r="G32" s="18" t="str">
        <x:v>N/A — .NET unit test (internal class/method)</x:v>
      </x:c>
      <x:c r="H32" s="18" t="str">
        <x:v>SPARK-250</x:v>
      </x:c>
      <x:c r="I32" s="18" t="str">
        <x:v>Unit / automated xUnit (dev tests; QA rerun)</x:v>
      </x:c>
      <x:c r="J32" s="18" t="str">
        <x:v>Medium</x:v>
      </x:c>
      <x:c r="K32" s="18" t="str">
        <x:v>QA commit 5995394ef27c; environment per execution log</x:v>
      </x:c>
      <x:c r="L32" s="18" t="str">
        <x:v>Backend unit/DI; synthetic local data; no real payment</x:v>
      </x:c>
      <x:c r="M32" s="18" t="str">
        <x:v>dotnet test PaymentService test project; inspect named xUnit case + summary 80/80.</x:v>
      </x:c>
      <x:c r="N32" s="18" t="str">
        <x:v>xUnit assertion recorded in source; independent acceptance oracle NOT reviewed. Expected runner result: test Pass; not proof of live business behavior.</x:v>
      </x:c>
      <x:c r="O32" s="18" t="str">
        <x:v>PASS từ dotnet test; 80 tests tổng cộng; 0 fail, 0 skip</x:v>
      </x:c>
      <x:c r="P32" s="18" t="str">
        <x:v>QA console / PowerShell step 5 / 20261027-065343</x:v>
      </x:c>
      <x:c r="Q32" s="18" t="str">
        <x:v>Pass</x:v>
      </x:c>
      <x:c r="R32" s="18"/>
      <x:c r="S32" s="18"/>
      <x:c r="T32" s="18"/>
      <x:c r="U32" s="18"/>
      <x:c r="V32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33" ht="56" customHeight="1">
      <x:c r="A33" s="18" t="str">
        <x:v>UNIT-032</x:v>
      </x:c>
      <x:c r="B33" s="18" t="str">
        <x:v>Application.ProcessPayOsWebhookCommandHandlerTests.Handle_ValidWebhook_UpdatesOrderAndTransactionToPaid</x:v>
      </x:c>
      <x:c r="C33" s="18" t="str">
        <x:v>Chưa ánh xạ FR chính thức; source PR #14</x:v>
      </x:c>
      <x:c r="D33" s="18" t="str">
        <x:v>N/A — yêu cầu BR chưa được đối chiếu</x:v>
      </x:c>
      <x:c r="E33" s="18" t="str">
        <x:v>US-D02 (parent story SPARK-247)</x:v>
      </x:c>
      <x:c r="F33" s="18" t="str">
        <x:v>Chưa đối chiếu UC</x:v>
      </x:c>
      <x:c r="G33" s="18" t="str">
        <x:v>N/A — .NET unit test (internal class/method)</x:v>
      </x:c>
      <x:c r="H33" s="18" t="str">
        <x:v>SPARK-250</x:v>
      </x:c>
      <x:c r="I33" s="18" t="str">
        <x:v>Unit / automated xUnit (dev tests; QA rerun)</x:v>
      </x:c>
      <x:c r="J33" s="18" t="str">
        <x:v>Medium</x:v>
      </x:c>
      <x:c r="K33" s="18" t="str">
        <x:v>QA commit 5995394ef27c; environment per execution log</x:v>
      </x:c>
      <x:c r="L33" s="18" t="str">
        <x:v>Backend unit/DI; synthetic local data; no real payment</x:v>
      </x:c>
      <x:c r="M33" s="18" t="str">
        <x:v>dotnet test PaymentService test project; inspect named xUnit case + summary 80/80.</x:v>
      </x:c>
      <x:c r="N33" s="18" t="str">
        <x:v>xUnit assertion recorded in source; independent acceptance oracle NOT reviewed. Expected runner result: test Pass; not proof of live business behavior.</x:v>
      </x:c>
      <x:c r="O33" s="18" t="str">
        <x:v>PASS từ dotnet test; 80 tests tổng cộng; 0 fail, 0 skip</x:v>
      </x:c>
      <x:c r="P33" s="18" t="str">
        <x:v>QA console / PowerShell step 5 / 20261027-065343</x:v>
      </x:c>
      <x:c r="Q33" s="18" t="str">
        <x:v>Pass</x:v>
      </x:c>
      <x:c r="R33" s="18"/>
      <x:c r="S33" s="18"/>
      <x:c r="T33" s="18"/>
      <x:c r="U33" s="18"/>
      <x:c r="V33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34" ht="56" customHeight="1">
      <x:c r="A34" s="18" t="str">
        <x:v>UNIT-033</x:v>
      </x:c>
      <x:c r="B34" s="18" t="str">
        <x:v>Application.GetPaymentStatusQueryHandlerTests.Handle_PendingTransaction_ReconcilesWithGateway</x:v>
      </x:c>
      <x:c r="C34" s="18" t="str">
        <x:v>Chưa ánh xạ FR chính thức; source PR #14</x:v>
      </x:c>
      <x:c r="D34" s="18" t="str">
        <x:v>N/A — yêu cầu BR chưa được đối chiếu</x:v>
      </x:c>
      <x:c r="E34" s="18" t="str">
        <x:v>US-D02 (parent story SPARK-247)</x:v>
      </x:c>
      <x:c r="F34" s="18" t="str">
        <x:v>Chưa đối chiếu UC</x:v>
      </x:c>
      <x:c r="G34" s="18" t="str">
        <x:v>N/A — .NET unit test (internal class/method)</x:v>
      </x:c>
      <x:c r="H34" s="18" t="str">
        <x:v>SPARK-250</x:v>
      </x:c>
      <x:c r="I34" s="18" t="str">
        <x:v>Unit / automated xUnit (dev tests; QA rerun)</x:v>
      </x:c>
      <x:c r="J34" s="18" t="str">
        <x:v>Medium</x:v>
      </x:c>
      <x:c r="K34" s="18" t="str">
        <x:v>QA commit 5995394ef27c; environment per execution log</x:v>
      </x:c>
      <x:c r="L34" s="18" t="str">
        <x:v>Backend unit/DI; synthetic local data; no real payment</x:v>
      </x:c>
      <x:c r="M34" s="18" t="str">
        <x:v>dotnet test PaymentService test project; inspect named xUnit case + summary 80/80.</x:v>
      </x:c>
      <x:c r="N34" s="18" t="str">
        <x:v>xUnit assertion recorded in source; independent acceptance oracle NOT reviewed. Expected runner result: test Pass; not proof of live business behavior.</x:v>
      </x:c>
      <x:c r="O34" s="18" t="str">
        <x:v>PASS từ dotnet test; 80 tests tổng cộng; 0 fail, 0 skip</x:v>
      </x:c>
      <x:c r="P34" s="18" t="str">
        <x:v>QA console / PowerShell step 5 / 20261027-065343</x:v>
      </x:c>
      <x:c r="Q34" s="18" t="str">
        <x:v>Pass</x:v>
      </x:c>
      <x:c r="R34" s="18"/>
      <x:c r="S34" s="18"/>
      <x:c r="T34" s="18"/>
      <x:c r="U34" s="18"/>
      <x:c r="V34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35" ht="56" customHeight="1">
      <x:c r="A35" s="18" t="str">
        <x:v>UNIT-034</x:v>
      </x:c>
      <x:c r="B35" s="18" t="str">
        <x:v>Application.InitiatePaymentCheckoutCommandHandlerTests.Handle_Success_CallsGatewayAndCreatesTransaction</x:v>
      </x:c>
      <x:c r="C35" s="18" t="str">
        <x:v>Chưa ánh xạ FR chính thức; source PR #14</x:v>
      </x:c>
      <x:c r="D35" s="18" t="str">
        <x:v>N/A — yêu cầu BR chưa được đối chiếu</x:v>
      </x:c>
      <x:c r="E35" s="18" t="str">
        <x:v>US-D02 (parent story SPARK-247)</x:v>
      </x:c>
      <x:c r="F35" s="18" t="str">
        <x:v>Chưa đối chiếu UC</x:v>
      </x:c>
      <x:c r="G35" s="18" t="str">
        <x:v>N/A — .NET unit test (internal class/method)</x:v>
      </x:c>
      <x:c r="H35" s="18" t="str">
        <x:v>SPARK-250</x:v>
      </x:c>
      <x:c r="I35" s="18" t="str">
        <x:v>Unit / automated xUnit (dev tests; QA rerun)</x:v>
      </x:c>
      <x:c r="J35" s="18" t="str">
        <x:v>Medium</x:v>
      </x:c>
      <x:c r="K35" s="18" t="str">
        <x:v>QA commit 5995394ef27c; environment per execution log</x:v>
      </x:c>
      <x:c r="L35" s="18" t="str">
        <x:v>Backend unit/DI; synthetic local data; no real payment</x:v>
      </x:c>
      <x:c r="M35" s="18" t="str">
        <x:v>dotnet test PaymentService test project; inspect named xUnit case + summary 80/80.</x:v>
      </x:c>
      <x:c r="N35" s="18" t="str">
        <x:v>xUnit assertion recorded in source; independent acceptance oracle NOT reviewed. Expected runner result: test Pass; not proof of live business behavior.</x:v>
      </x:c>
      <x:c r="O35" s="18" t="str">
        <x:v>PASS từ dotnet test; 80 tests tổng cộng; 0 fail, 0 skip</x:v>
      </x:c>
      <x:c r="P35" s="18" t="str">
        <x:v>QA console / PowerShell step 5 / 20261027-065343</x:v>
      </x:c>
      <x:c r="Q35" s="18" t="str">
        <x:v>Pass</x:v>
      </x:c>
      <x:c r="R35" s="18"/>
      <x:c r="S35" s="18"/>
      <x:c r="T35" s="18"/>
      <x:c r="U35" s="18"/>
      <x:c r="V35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36" ht="56" customHeight="1">
      <x:c r="A36" s="18" t="str">
        <x:v>UNIT-035</x:v>
      </x:c>
      <x:c r="B36" s="18" t="str">
        <x:v>Application.InitiatePaymentCheckoutCommandHandlerTests.Handle_IdempotencyReplay_ReturnsExistingPendingTransaction</x:v>
      </x:c>
      <x:c r="C36" s="18" t="str">
        <x:v>Chưa ánh xạ FR chính thức; source PR #14</x:v>
      </x:c>
      <x:c r="D36" s="18" t="str">
        <x:v>N/A — yêu cầu BR chưa được đối chiếu</x:v>
      </x:c>
      <x:c r="E36" s="18" t="str">
        <x:v>US-D02 (parent story SPARK-247)</x:v>
      </x:c>
      <x:c r="F36" s="18" t="str">
        <x:v>Chưa đối chiếu UC</x:v>
      </x:c>
      <x:c r="G36" s="18" t="str">
        <x:v>N/A — .NET unit test (internal class/method)</x:v>
      </x:c>
      <x:c r="H36" s="18" t="str">
        <x:v>SPARK-250</x:v>
      </x:c>
      <x:c r="I36" s="18" t="str">
        <x:v>Unit / automated xUnit (dev tests; QA rerun)</x:v>
      </x:c>
      <x:c r="J36" s="18" t="str">
        <x:v>Medium</x:v>
      </x:c>
      <x:c r="K36" s="18" t="str">
        <x:v>QA commit 5995394ef27c; environment per execution log</x:v>
      </x:c>
      <x:c r="L36" s="18" t="str">
        <x:v>Backend unit/DI; synthetic local data; no real payment</x:v>
      </x:c>
      <x:c r="M36" s="18" t="str">
        <x:v>dotnet test PaymentService test project; inspect named xUnit case + summary 80/80.</x:v>
      </x:c>
      <x:c r="N36" s="18" t="str">
        <x:v>xUnit assertion recorded in source; independent acceptance oracle NOT reviewed. Expected runner result: test Pass; not proof of live business behavior.</x:v>
      </x:c>
      <x:c r="O36" s="18" t="str">
        <x:v>PASS từ dotnet test; 80 tests tổng cộng; 0 fail, 0 skip</x:v>
      </x:c>
      <x:c r="P36" s="18" t="str">
        <x:v>QA console / PowerShell step 5 / 20261027-065343</x:v>
      </x:c>
      <x:c r="Q36" s="18" t="str">
        <x:v>Pass</x:v>
      </x:c>
      <x:c r="R36" s="18"/>
      <x:c r="S36" s="18"/>
      <x:c r="T36" s="18"/>
      <x:c r="U36" s="18"/>
      <x:c r="V36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37" ht="56" customHeight="1">
      <x:c r="A37" s="18" t="str">
        <x:v>UNIT-036</x:v>
      </x:c>
      <x:c r="B37" s="18" t="str">
        <x:v>Application.InitiatePaymentCheckoutCommandHandlerTests.Handle_OrderNotFound_ThrowsPaymentDomainException</x:v>
      </x:c>
      <x:c r="C37" s="18" t="str">
        <x:v>Chưa ánh xạ FR chính thức; source PR #14</x:v>
      </x:c>
      <x:c r="D37" s="18" t="str">
        <x:v>N/A — yêu cầu BR chưa được đối chiếu</x:v>
      </x:c>
      <x:c r="E37" s="18" t="str">
        <x:v>US-D02 (parent story SPARK-247)</x:v>
      </x:c>
      <x:c r="F37" s="18" t="str">
        <x:v>Chưa đối chiếu UC</x:v>
      </x:c>
      <x:c r="G37" s="18" t="str">
        <x:v>N/A — .NET unit test (internal class/method)</x:v>
      </x:c>
      <x:c r="H37" s="18" t="str">
        <x:v>SPARK-250</x:v>
      </x:c>
      <x:c r="I37" s="18" t="str">
        <x:v>Unit / automated xUnit (dev tests; QA rerun)</x:v>
      </x:c>
      <x:c r="J37" s="18" t="str">
        <x:v>Medium</x:v>
      </x:c>
      <x:c r="K37" s="18" t="str">
        <x:v>QA commit 5995394ef27c; environment per execution log</x:v>
      </x:c>
      <x:c r="L37" s="18" t="str">
        <x:v>Backend unit/DI; synthetic local data; no real payment</x:v>
      </x:c>
      <x:c r="M37" s="18" t="str">
        <x:v>dotnet test PaymentService test project; inspect named xUnit case + summary 80/80.</x:v>
      </x:c>
      <x:c r="N37" s="18" t="str">
        <x:v>xUnit assertion recorded in source; independent acceptance oracle NOT reviewed. Expected runner result: test Pass; not proof of live business behavior.</x:v>
      </x:c>
      <x:c r="O37" s="18" t="str">
        <x:v>PASS từ dotnet test; 80 tests tổng cộng; 0 fail, 0 skip</x:v>
      </x:c>
      <x:c r="P37" s="18" t="str">
        <x:v>QA console / PowerShell step 5 / 20261027-065343</x:v>
      </x:c>
      <x:c r="Q37" s="18" t="str">
        <x:v>Pass</x:v>
      </x:c>
      <x:c r="R37" s="18"/>
      <x:c r="S37" s="18"/>
      <x:c r="T37" s="18"/>
      <x:c r="U37" s="18"/>
      <x:c r="V37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38" ht="56" customHeight="1">
      <x:c r="A38" s="18" t="str">
        <x:v>UNIT-037</x:v>
      </x:c>
      <x:c r="B38" s="18" t="str">
        <x:v>Application.InitiatePaymentCheckoutCommandHandlerTests.Handle_OrderAlreadyPaid_ThrowsPaymentDomainException</x:v>
      </x:c>
      <x:c r="C38" s="18" t="str">
        <x:v>Chưa ánh xạ FR chính thức; source PR #14</x:v>
      </x:c>
      <x:c r="D38" s="18" t="str">
        <x:v>N/A — yêu cầu BR chưa được đối chiếu</x:v>
      </x:c>
      <x:c r="E38" s="18" t="str">
        <x:v>US-D02 (parent story SPARK-247)</x:v>
      </x:c>
      <x:c r="F38" s="18" t="str">
        <x:v>Chưa đối chiếu UC</x:v>
      </x:c>
      <x:c r="G38" s="18" t="str">
        <x:v>N/A — .NET unit test (internal class/method)</x:v>
      </x:c>
      <x:c r="H38" s="18" t="str">
        <x:v>SPARK-250</x:v>
      </x:c>
      <x:c r="I38" s="18" t="str">
        <x:v>Unit / automated xUnit (dev tests; QA rerun)</x:v>
      </x:c>
      <x:c r="J38" s="18" t="str">
        <x:v>Medium</x:v>
      </x:c>
      <x:c r="K38" s="18" t="str">
        <x:v>QA commit 5995394ef27c; environment per execution log</x:v>
      </x:c>
      <x:c r="L38" s="18" t="str">
        <x:v>Backend unit/DI; synthetic local data; no real payment</x:v>
      </x:c>
      <x:c r="M38" s="18" t="str">
        <x:v>dotnet test PaymentService test project; inspect named xUnit case + summary 80/80.</x:v>
      </x:c>
      <x:c r="N38" s="18" t="str">
        <x:v>xUnit assertion recorded in source; independent acceptance oracle NOT reviewed. Expected runner result: test Pass; not proof of live business behavior.</x:v>
      </x:c>
      <x:c r="O38" s="18" t="str">
        <x:v>PASS từ dotnet test; 80 tests tổng cộng; 0 fail, 0 skip</x:v>
      </x:c>
      <x:c r="P38" s="18" t="str">
        <x:v>QA console / PowerShell step 5 / 20261027-065343</x:v>
      </x:c>
      <x:c r="Q38" s="18" t="str">
        <x:v>Pass</x:v>
      </x:c>
      <x:c r="R38" s="18"/>
      <x:c r="S38" s="18"/>
      <x:c r="T38" s="18"/>
      <x:c r="U38" s="18"/>
      <x:c r="V38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39" ht="56" customHeight="1">
      <x:c r="A39" s="18" t="str">
        <x:v>UNIT-038</x:v>
      </x:c>
      <x:c r="B39" s="18" t="str">
        <x:v>Infrastructure.PayOsAdapterTests.VerifyAndParseWebhookAsync_ValidSignature_ReturnsSuccess</x:v>
      </x:c>
      <x:c r="C39" s="18" t="str">
        <x:v>Chưa ánh xạ FR chính thức; source PR #14</x:v>
      </x:c>
      <x:c r="D39" s="18" t="str">
        <x:v>N/A — yêu cầu BR chưa được đối chiếu</x:v>
      </x:c>
      <x:c r="E39" s="18" t="str">
        <x:v>US-D02 (parent story SPARK-247)</x:v>
      </x:c>
      <x:c r="F39" s="18" t="str">
        <x:v>Chưa đối chiếu UC</x:v>
      </x:c>
      <x:c r="G39" s="18" t="str">
        <x:v>N/A — .NET unit test (internal class/method)</x:v>
      </x:c>
      <x:c r="H39" s="18" t="str">
        <x:v>SPARK-250</x:v>
      </x:c>
      <x:c r="I39" s="18" t="str">
        <x:v>Unit / automated xUnit (dev tests; QA rerun)</x:v>
      </x:c>
      <x:c r="J39" s="18" t="str">
        <x:v>Medium</x:v>
      </x:c>
      <x:c r="K39" s="18" t="str">
        <x:v>QA commit 5995394ef27c; environment per execution log</x:v>
      </x:c>
      <x:c r="L39" s="18" t="str">
        <x:v>Backend unit/DI; synthetic local data; no real payment</x:v>
      </x:c>
      <x:c r="M39" s="18" t="str">
        <x:v>dotnet test PaymentService test project; inspect named xUnit case + summary 80/80.</x:v>
      </x:c>
      <x:c r="N39" s="18" t="str">
        <x:v>xUnit assertion recorded in source; independent acceptance oracle NOT reviewed. Expected runner result: test Pass; not proof of live business behavior.</x:v>
      </x:c>
      <x:c r="O39" s="18" t="str">
        <x:v>PASS từ dotnet test; 80 tests tổng cộng; 0 fail, 0 skip</x:v>
      </x:c>
      <x:c r="P39" s="18" t="str">
        <x:v>QA console / PowerShell step 5 / 20261027-065343</x:v>
      </x:c>
      <x:c r="Q39" s="18" t="str">
        <x:v>Pass</x:v>
      </x:c>
      <x:c r="R39" s="18"/>
      <x:c r="S39" s="18"/>
      <x:c r="T39" s="18"/>
      <x:c r="U39" s="18"/>
      <x:c r="V39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40" ht="56" customHeight="1">
      <x:c r="A40" s="18" t="str">
        <x:v>UNIT-039</x:v>
      </x:c>
      <x:c r="B40" s="18" t="str">
        <x:v>Application.ProcessPayOsWebhookCommandHandlerTests.Handle_DuplicateWebhook_ReturnsSuccessWithoutReProcessing</x:v>
      </x:c>
      <x:c r="C40" s="18" t="str">
        <x:v>Chưa ánh xạ FR chính thức; source PR #14</x:v>
      </x:c>
      <x:c r="D40" s="18" t="str">
        <x:v>N/A — yêu cầu BR chưa được đối chiếu</x:v>
      </x:c>
      <x:c r="E40" s="18" t="str">
        <x:v>US-D02 (parent story SPARK-247)</x:v>
      </x:c>
      <x:c r="F40" s="18" t="str">
        <x:v>Chưa đối chiếu UC</x:v>
      </x:c>
      <x:c r="G40" s="18" t="str">
        <x:v>N/A — .NET unit test (internal class/method)</x:v>
      </x:c>
      <x:c r="H40" s="18" t="str">
        <x:v>SPARK-250</x:v>
      </x:c>
      <x:c r="I40" s="18" t="str">
        <x:v>Unit / automated xUnit (dev tests; QA rerun)</x:v>
      </x:c>
      <x:c r="J40" s="18" t="str">
        <x:v>Medium</x:v>
      </x:c>
      <x:c r="K40" s="18" t="str">
        <x:v>QA commit 5995394ef27c; environment per execution log</x:v>
      </x:c>
      <x:c r="L40" s="18" t="str">
        <x:v>Backend unit/DI; synthetic local data; no real payment</x:v>
      </x:c>
      <x:c r="M40" s="18" t="str">
        <x:v>dotnet test PaymentService test project; inspect named xUnit case + summary 80/80.</x:v>
      </x:c>
      <x:c r="N40" s="18" t="str">
        <x:v>xUnit assertion recorded in source; independent acceptance oracle NOT reviewed. Expected runner result: test Pass; not proof of live business behavior.</x:v>
      </x:c>
      <x:c r="O40" s="18" t="str">
        <x:v>PASS từ dotnet test; 80 tests tổng cộng; 0 fail, 0 skip</x:v>
      </x:c>
      <x:c r="P40" s="18" t="str">
        <x:v>QA console / PowerShell step 5 / 20261027-065343</x:v>
      </x:c>
      <x:c r="Q40" s="18" t="str">
        <x:v>Pass</x:v>
      </x:c>
      <x:c r="R40" s="18"/>
      <x:c r="S40" s="18"/>
      <x:c r="T40" s="18"/>
      <x:c r="U40" s="18"/>
      <x:c r="V40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41" ht="56" customHeight="1">
      <x:c r="A41" s="18" t="str">
        <x:v>UNIT-040</x:v>
      </x:c>
      <x:c r="B41" s="18" t="str">
        <x:v>Application.ProcessPayOsWebhookCommandHandlerTests.Handle_InvalidSignature_ReturnsFailure</x:v>
      </x:c>
      <x:c r="C41" s="18" t="str">
        <x:v>Chưa ánh xạ FR chính thức; source PR #14</x:v>
      </x:c>
      <x:c r="D41" s="18" t="str">
        <x:v>N/A — yêu cầu BR chưa được đối chiếu</x:v>
      </x:c>
      <x:c r="E41" s="18" t="str">
        <x:v>US-D02 (parent story SPARK-247)</x:v>
      </x:c>
      <x:c r="F41" s="18" t="str">
        <x:v>Chưa đối chiếu UC</x:v>
      </x:c>
      <x:c r="G41" s="18" t="str">
        <x:v>N/A — .NET unit test (internal class/method)</x:v>
      </x:c>
      <x:c r="H41" s="18" t="str">
        <x:v>SPARK-250</x:v>
      </x:c>
      <x:c r="I41" s="18" t="str">
        <x:v>Unit / automated xUnit (dev tests; QA rerun)</x:v>
      </x:c>
      <x:c r="J41" s="18" t="str">
        <x:v>Medium</x:v>
      </x:c>
      <x:c r="K41" s="18" t="str">
        <x:v>QA commit 5995394ef27c; environment per execution log</x:v>
      </x:c>
      <x:c r="L41" s="18" t="str">
        <x:v>Backend unit/DI; synthetic local data; no real payment</x:v>
      </x:c>
      <x:c r="M41" s="18" t="str">
        <x:v>dotnet test PaymentService test project; inspect named xUnit case + summary 80/80.</x:v>
      </x:c>
      <x:c r="N41" s="18" t="str">
        <x:v>xUnit assertion recorded in source; independent acceptance oracle NOT reviewed. Expected runner result: test Pass; not proof of live business behavior.</x:v>
      </x:c>
      <x:c r="O41" s="18" t="str">
        <x:v>PASS từ dotnet test; 80 tests tổng cộng; 0 fail, 0 skip</x:v>
      </x:c>
      <x:c r="P41" s="18" t="str">
        <x:v>QA console / PowerShell step 5 / 20261027-065343</x:v>
      </x:c>
      <x:c r="Q41" s="18" t="str">
        <x:v>Pass</x:v>
      </x:c>
      <x:c r="R41" s="18"/>
      <x:c r="S41" s="18"/>
      <x:c r="T41" s="18"/>
      <x:c r="U41" s="18"/>
      <x:c r="V41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42" ht="56" customHeight="1">
      <x:c r="A42" s="18" t="str">
        <x:v>UNIT-041</x:v>
      </x:c>
      <x:c r="B42" s="18" t="str">
        <x:v>Infrastructure.PayOsAdapterTests.PayOsSignatureService_ComputesAndVerifiesSignatureCorrectly</x:v>
      </x:c>
      <x:c r="C42" s="18" t="str">
        <x:v>Chưa ánh xạ FR chính thức; source PR #14</x:v>
      </x:c>
      <x:c r="D42" s="18" t="str">
        <x:v>N/A — yêu cầu BR chưa được đối chiếu</x:v>
      </x:c>
      <x:c r="E42" s="18" t="str">
        <x:v>US-D02 (parent story SPARK-247)</x:v>
      </x:c>
      <x:c r="F42" s="18" t="str">
        <x:v>Chưa đối chiếu UC</x:v>
      </x:c>
      <x:c r="G42" s="18" t="str">
        <x:v>N/A — .NET unit test (internal class/method)</x:v>
      </x:c>
      <x:c r="H42" s="18" t="str">
        <x:v>SPARK-250</x:v>
      </x:c>
      <x:c r="I42" s="18" t="str">
        <x:v>Unit / automated xUnit (dev tests; QA rerun)</x:v>
      </x:c>
      <x:c r="J42" s="18" t="str">
        <x:v>Medium</x:v>
      </x:c>
      <x:c r="K42" s="18" t="str">
        <x:v>QA commit 5995394ef27c; environment per execution log</x:v>
      </x:c>
      <x:c r="L42" s="18" t="str">
        <x:v>Backend unit/DI; synthetic local data; no real payment</x:v>
      </x:c>
      <x:c r="M42" s="18" t="str">
        <x:v>dotnet test PaymentService test project; inspect named xUnit case + summary 80/80.</x:v>
      </x:c>
      <x:c r="N42" s="18" t="str">
        <x:v>xUnit assertion recorded in source; independent acceptance oracle NOT reviewed. Expected runner result: test Pass; not proof of live business behavior.</x:v>
      </x:c>
      <x:c r="O42" s="18" t="str">
        <x:v>PASS từ dotnet test; 80 tests tổng cộng; 0 fail, 0 skip</x:v>
      </x:c>
      <x:c r="P42" s="18" t="str">
        <x:v>QA console / PowerShell step 5 / 20261027-065343</x:v>
      </x:c>
      <x:c r="Q42" s="18" t="str">
        <x:v>Pass</x:v>
      </x:c>
      <x:c r="R42" s="18"/>
      <x:c r="S42" s="18"/>
      <x:c r="T42" s="18"/>
      <x:c r="U42" s="18"/>
      <x:c r="V42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43" ht="56" customHeight="1">
      <x:c r="A43" s="18" t="str">
        <x:v>UNIT-042</x:v>
      </x:c>
      <x:c r="B43" s="18" t="str">
        <x:v>Infrastructure.PayOsAdapterTests.PayOsSignatureService_CreateCheckoutSignature_MatchesExpectedKeysOrder</x:v>
      </x:c>
      <x:c r="C43" s="18" t="str">
        <x:v>Chưa ánh xạ FR chính thức; source PR #14</x:v>
      </x:c>
      <x:c r="D43" s="18" t="str">
        <x:v>N/A — yêu cầu BR chưa được đối chiếu</x:v>
      </x:c>
      <x:c r="E43" s="18" t="str">
        <x:v>US-D02 (parent story SPARK-247)</x:v>
      </x:c>
      <x:c r="F43" s="18" t="str">
        <x:v>Chưa đối chiếu UC</x:v>
      </x:c>
      <x:c r="G43" s="18" t="str">
        <x:v>N/A — .NET unit test (internal class/method)</x:v>
      </x:c>
      <x:c r="H43" s="18" t="str">
        <x:v>SPARK-250</x:v>
      </x:c>
      <x:c r="I43" s="18" t="str">
        <x:v>Unit / automated xUnit (dev tests; QA rerun)</x:v>
      </x:c>
      <x:c r="J43" s="18" t="str">
        <x:v>Medium</x:v>
      </x:c>
      <x:c r="K43" s="18" t="str">
        <x:v>QA commit 5995394ef27c; environment per execution log</x:v>
      </x:c>
      <x:c r="L43" s="18" t="str">
        <x:v>Backend unit/DI; synthetic local data; no real payment</x:v>
      </x:c>
      <x:c r="M43" s="18" t="str">
        <x:v>dotnet test PaymentService test project; inspect named xUnit case + summary 80/80.</x:v>
      </x:c>
      <x:c r="N43" s="18" t="str">
        <x:v>xUnit assertion recorded in source; independent acceptance oracle NOT reviewed. Expected runner result: test Pass; not proof of live business behavior.</x:v>
      </x:c>
      <x:c r="O43" s="18" t="str">
        <x:v>PASS từ dotnet test; 80 tests tổng cộng; 0 fail, 0 skip</x:v>
      </x:c>
      <x:c r="P43" s="18" t="str">
        <x:v>QA console / PowerShell step 5 / 20261027-065343</x:v>
      </x:c>
      <x:c r="Q43" s="18" t="str">
        <x:v>Pass</x:v>
      </x:c>
      <x:c r="R43" s="18"/>
      <x:c r="S43" s="18"/>
      <x:c r="T43" s="18"/>
      <x:c r="U43" s="18"/>
      <x:c r="V43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44" ht="56" customHeight="1">
      <x:c r="A44" s="18" t="str">
        <x:v>UNIT-043</x:v>
      </x:c>
      <x:c r="B44" s="18" t="str">
        <x:v>Infrastructure.PayOsAdapterTests.InitiatePaymentAsync_SandboxFallback_ReturnsMockUrlsAndQr</x:v>
      </x:c>
      <x:c r="C44" s="18" t="str">
        <x:v>Chưa ánh xạ FR chính thức; source PR #14</x:v>
      </x:c>
      <x:c r="D44" s="18" t="str">
        <x:v>N/A — yêu cầu BR chưa được đối chiếu</x:v>
      </x:c>
      <x:c r="E44" s="18" t="str">
        <x:v>US-D02 (parent story SPARK-247)</x:v>
      </x:c>
      <x:c r="F44" s="18" t="str">
        <x:v>Chưa đối chiếu UC</x:v>
      </x:c>
      <x:c r="G44" s="18" t="str">
        <x:v>N/A — .NET unit test (internal class/method)</x:v>
      </x:c>
      <x:c r="H44" s="18" t="str">
        <x:v>SPARK-250</x:v>
      </x:c>
      <x:c r="I44" s="18" t="str">
        <x:v>Unit / automated xUnit (dev tests; QA rerun)</x:v>
      </x:c>
      <x:c r="J44" s="18" t="str">
        <x:v>Medium</x:v>
      </x:c>
      <x:c r="K44" s="18" t="str">
        <x:v>QA commit 5995394ef27c; environment per execution log</x:v>
      </x:c>
      <x:c r="L44" s="18" t="str">
        <x:v>Backend unit/DI; synthetic local data; no real payment</x:v>
      </x:c>
      <x:c r="M44" s="18" t="str">
        <x:v>dotnet test PaymentService test project; inspect named xUnit case + summary 80/80.</x:v>
      </x:c>
      <x:c r="N44" s="18" t="str">
        <x:v>xUnit assertion recorded in source; independent acceptance oracle NOT reviewed. Expected runner result: test Pass; not proof of live business behavior.</x:v>
      </x:c>
      <x:c r="O44" s="18" t="str">
        <x:v>PASS từ dotnet test; 80 tests tổng cộng; 0 fail, 0 skip</x:v>
      </x:c>
      <x:c r="P44" s="18" t="str">
        <x:v>QA console / PowerShell step 5 / 20261027-065343</x:v>
      </x:c>
      <x:c r="Q44" s="18" t="str">
        <x:v>Pass</x:v>
      </x:c>
      <x:c r="R44" s="18"/>
      <x:c r="S44" s="18"/>
      <x:c r="T44" s="18"/>
      <x:c r="U44" s="18"/>
      <x:c r="V44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45" ht="56" customHeight="1">
      <x:c r="A45" s="18" t="str">
        <x:v>UNIT-044</x:v>
      </x:c>
      <x:c r="B45" s="18" t="str">
        <x:v>Infrastructure.PayOsAdapterTests.VerifyAndParseWebhookAsync_TamperedSignature_ReturnsInvalidSignature</x:v>
      </x:c>
      <x:c r="C45" s="18" t="str">
        <x:v>Chưa ánh xạ FR chính thức; source PR #14</x:v>
      </x:c>
      <x:c r="D45" s="18" t="str">
        <x:v>N/A — yêu cầu BR chưa được đối chiếu</x:v>
      </x:c>
      <x:c r="E45" s="18" t="str">
        <x:v>US-D02 (parent story SPARK-247)</x:v>
      </x:c>
      <x:c r="F45" s="18" t="str">
        <x:v>Chưa đối chiếu UC</x:v>
      </x:c>
      <x:c r="G45" s="18" t="str">
        <x:v>N/A — .NET unit test (internal class/method)</x:v>
      </x:c>
      <x:c r="H45" s="18" t="str">
        <x:v>SPARK-250</x:v>
      </x:c>
      <x:c r="I45" s="18" t="str">
        <x:v>Unit / automated xUnit (dev tests; QA rerun)</x:v>
      </x:c>
      <x:c r="J45" s="18" t="str">
        <x:v>Medium</x:v>
      </x:c>
      <x:c r="K45" s="18" t="str">
        <x:v>QA commit 5995394ef27c; environment per execution log</x:v>
      </x:c>
      <x:c r="L45" s="18" t="str">
        <x:v>Backend unit/DI; synthetic local data; no real payment</x:v>
      </x:c>
      <x:c r="M45" s="18" t="str">
        <x:v>dotnet test PaymentService test project; inspect named xUnit case + summary 80/80.</x:v>
      </x:c>
      <x:c r="N45" s="18" t="str">
        <x:v>xUnit assertion recorded in source; independent acceptance oracle NOT reviewed. Expected runner result: test Pass; not proof of live business behavior.</x:v>
      </x:c>
      <x:c r="O45" s="18" t="str">
        <x:v>PASS từ dotnet test; 80 tests tổng cộng; 0 fail, 0 skip</x:v>
      </x:c>
      <x:c r="P45" s="18" t="str">
        <x:v>QA console / PowerShell step 5 / 20261027-065343</x:v>
      </x:c>
      <x:c r="Q45" s="18" t="str">
        <x:v>Pass</x:v>
      </x:c>
      <x:c r="R45" s="18"/>
      <x:c r="S45" s="18"/>
      <x:c r="T45" s="18"/>
      <x:c r="U45" s="18"/>
      <x:c r="V45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46" ht="56" customHeight="1">
      <x:c r="A46" s="18" t="str">
        <x:v>UNIT-045</x:v>
      </x:c>
      <x:c r="B46" s="18" t="str">
        <x:v>Domain.ParkingPricingCalculatorTests.TC_PRICE_13_ToSnapshotJson_ContainsRequiredFieldsAndExcludesUnintendedData</x:v>
      </x:c>
      <x:c r="C46" s="18" t="str">
        <x:v>Chưa ánh xạ FR chính thức; source PR #14</x:v>
      </x:c>
      <x:c r="D46" s="18" t="str">
        <x:v>N/A — yêu cầu BR chưa được đối chiếu</x:v>
      </x:c>
      <x:c r="E46" s="18" t="str">
        <x:v>Chưa đối chiếu US</x:v>
      </x:c>
      <x:c r="F46" s="18" t="str">
        <x:v>Chưa đối chiếu UC</x:v>
      </x:c>
      <x:c r="G46" s="18" t="str">
        <x:v>N/A — .NET unit test (internal class/method)</x:v>
      </x:c>
      <x:c r="H46" s="18" t="str">
        <x:v>SPARK-229 (pricing regression; verify issue mapping)</x:v>
      </x:c>
      <x:c r="I46" s="18" t="str">
        <x:v>Unit / automated xUnit (dev tests; QA rerun)</x:v>
      </x:c>
      <x:c r="J46" s="18" t="str">
        <x:v>Medium</x:v>
      </x:c>
      <x:c r="K46" s="18" t="str">
        <x:v>QA commit 5995394ef27c; environment per execution log</x:v>
      </x:c>
      <x:c r="L46" s="18" t="str">
        <x:v>Backend unit/DI; synthetic local data; no real payment</x:v>
      </x:c>
      <x:c r="M46" s="18" t="str">
        <x:v>dotnet test PaymentService test project; inspect named xUnit case + summary 80/80.</x:v>
      </x:c>
      <x:c r="N46" s="18" t="str">
        <x:v>xUnit assertion recorded in source; independent acceptance oracle NOT reviewed. Expected runner result: test Pass; not proof of live business behavior.</x:v>
      </x:c>
      <x:c r="O46" s="18" t="str">
        <x:v>PASS từ dotnet test; 80 tests tổng cộng; 0 fail, 0 skip</x:v>
      </x:c>
      <x:c r="P46" s="18" t="str">
        <x:v>QA console / PowerShell step 5 / 20261027-065343</x:v>
      </x:c>
      <x:c r="Q46" s="18" t="str">
        <x:v>Pass</x:v>
      </x:c>
      <x:c r="R46" s="18"/>
      <x:c r="S46" s="18"/>
      <x:c r="T46" s="18"/>
      <x:c r="U46" s="18"/>
      <x:c r="V46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47" ht="56" customHeight="1">
      <x:c r="A47" s="18" t="str">
        <x:v>UNIT-046</x:v>
      </x:c>
      <x:c r="B47" s="18" t="str">
        <x:v>Domain.ParkingPricingCalculatorTests.TC_PRICE_06_MultiDayStay_Over48Hours_ShouldCalculateAllDays</x:v>
      </x:c>
      <x:c r="C47" s="18" t="str">
        <x:v>Chưa ánh xạ FR chính thức; source PR #14</x:v>
      </x:c>
      <x:c r="D47" s="18" t="str">
        <x:v>N/A — yêu cầu BR chưa được đối chiếu</x:v>
      </x:c>
      <x:c r="E47" s="18" t="str">
        <x:v>Chưa đối chiếu US</x:v>
      </x:c>
      <x:c r="F47" s="18" t="str">
        <x:v>Chưa đối chiếu UC</x:v>
      </x:c>
      <x:c r="G47" s="18" t="str">
        <x:v>N/A — .NET unit test (internal class/method)</x:v>
      </x:c>
      <x:c r="H47" s="18" t="str">
        <x:v>SPARK-229 (pricing regression; verify issue mapping)</x:v>
      </x:c>
      <x:c r="I47" s="18" t="str">
        <x:v>Unit / automated xUnit (dev tests; QA rerun)</x:v>
      </x:c>
      <x:c r="J47" s="18" t="str">
        <x:v>Medium</x:v>
      </x:c>
      <x:c r="K47" s="18" t="str">
        <x:v>QA commit 5995394ef27c; environment per execution log</x:v>
      </x:c>
      <x:c r="L47" s="18" t="str">
        <x:v>Backend unit/DI; synthetic local data; no real payment</x:v>
      </x:c>
      <x:c r="M47" s="18" t="str">
        <x:v>dotnet test PaymentService test project; inspect named xUnit case + summary 80/80.</x:v>
      </x:c>
      <x:c r="N47" s="18" t="str">
        <x:v>xUnit assertion recorded in source; independent acceptance oracle NOT reviewed. Expected runner result: test Pass; not proof of live business behavior.</x:v>
      </x:c>
      <x:c r="O47" s="18" t="str">
        <x:v>PASS từ dotnet test; 80 tests tổng cộng; 0 fail, 0 skip</x:v>
      </x:c>
      <x:c r="P47" s="18" t="str">
        <x:v>QA console / PowerShell step 5 / 20261027-065343</x:v>
      </x:c>
      <x:c r="Q47" s="18" t="str">
        <x:v>Pass</x:v>
      </x:c>
      <x:c r="R47" s="18"/>
      <x:c r="S47" s="18"/>
      <x:c r="T47" s="18"/>
      <x:c r="U47" s="18"/>
      <x:c r="V47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48" ht="56" customHeight="1">
      <x:c r="A48" s="18" t="str">
        <x:v>UNIT-047</x:v>
      </x:c>
      <x:c r="B48" s="18" t="str">
        <x:v>Domain.ParkingPricingCalculatorTests.TC_PRICE_08_RoundingMode_CEILING_WHOLE_VND(unrounded: 12, expected: 12)</x:v>
      </x:c>
      <x:c r="C48" s="18" t="str">
        <x:v>Chưa ánh xạ FR chính thức; source PR #14</x:v>
      </x:c>
      <x:c r="D48" s="18" t="str">
        <x:v>N/A — yêu cầu BR chưa được đối chiếu</x:v>
      </x:c>
      <x:c r="E48" s="18" t="str">
        <x:v>Chưa đối chiếu US</x:v>
      </x:c>
      <x:c r="F48" s="18" t="str">
        <x:v>Chưa đối chiếu UC</x:v>
      </x:c>
      <x:c r="G48" s="18" t="str">
        <x:v>N/A — .NET unit test (internal class/method)</x:v>
      </x:c>
      <x:c r="H48" s="18" t="str">
        <x:v>SPARK-229 (pricing regression; verify issue mapping)</x:v>
      </x:c>
      <x:c r="I48" s="18" t="str">
        <x:v>Unit / automated xUnit (dev tests; QA rerun)</x:v>
      </x:c>
      <x:c r="J48" s="18" t="str">
        <x:v>Medium</x:v>
      </x:c>
      <x:c r="K48" s="18" t="str">
        <x:v>QA commit 5995394ef27c; environment per execution log</x:v>
      </x:c>
      <x:c r="L48" s="18" t="str">
        <x:v>Backend unit/DI; synthetic local data; no real payment</x:v>
      </x:c>
      <x:c r="M48" s="18" t="str">
        <x:v>dotnet test PaymentService test project; inspect named xUnit case + summary 80/80.</x:v>
      </x:c>
      <x:c r="N48" s="18" t="str">
        <x:v>xUnit assertion recorded in source; independent acceptance oracle NOT reviewed. Expected runner result: test Pass; not proof of live business behavior.</x:v>
      </x:c>
      <x:c r="O48" s="18" t="str">
        <x:v>PASS từ dotnet test; 80 tests tổng cộng; 0 fail, 0 skip</x:v>
      </x:c>
      <x:c r="P48" s="18" t="str">
        <x:v>QA console / PowerShell step 5 / 20261027-065343</x:v>
      </x:c>
      <x:c r="Q48" s="18" t="str">
        <x:v>Pass</x:v>
      </x:c>
      <x:c r="R48" s="18"/>
      <x:c r="S48" s="18"/>
      <x:c r="T48" s="18"/>
      <x:c r="U48" s="18"/>
      <x:c r="V48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49" ht="56" customHeight="1">
      <x:c r="A49" s="18" t="str">
        <x:v>UNIT-048</x:v>
      </x:c>
      <x:c r="B49" s="18" t="str">
        <x:v>Domain.ParkingPricingCalculatorTests.TC_PRICE_08_RoundingMode_CEILING_WHOLE_VND(unrounded: 12.1, expected: 13)</x:v>
      </x:c>
      <x:c r="C49" s="18" t="str">
        <x:v>Chưa ánh xạ FR chính thức; source PR #14</x:v>
      </x:c>
      <x:c r="D49" s="18" t="str">
        <x:v>N/A — yêu cầu BR chưa được đối chiếu</x:v>
      </x:c>
      <x:c r="E49" s="18" t="str">
        <x:v>Chưa đối chiếu US</x:v>
      </x:c>
      <x:c r="F49" s="18" t="str">
        <x:v>Chưa đối chiếu UC</x:v>
      </x:c>
      <x:c r="G49" s="18" t="str">
        <x:v>N/A — .NET unit test (internal class/method)</x:v>
      </x:c>
      <x:c r="H49" s="18" t="str">
        <x:v>SPARK-229 (pricing regression; verify issue mapping)</x:v>
      </x:c>
      <x:c r="I49" s="18" t="str">
        <x:v>Unit / automated xUnit (dev tests; QA rerun)</x:v>
      </x:c>
      <x:c r="J49" s="18" t="str">
        <x:v>Medium</x:v>
      </x:c>
      <x:c r="K49" s="18" t="str">
        <x:v>QA commit 5995394ef27c; environment per execution log</x:v>
      </x:c>
      <x:c r="L49" s="18" t="str">
        <x:v>Backend unit/DI; synthetic local data; no real payment</x:v>
      </x:c>
      <x:c r="M49" s="18" t="str">
        <x:v>dotnet test PaymentService test project; inspect named xUnit case + summary 80/80.</x:v>
      </x:c>
      <x:c r="N49" s="18" t="str">
        <x:v>xUnit assertion recorded in source; independent acceptance oracle NOT reviewed. Expected runner result: test Pass; not proof of live business behavior.</x:v>
      </x:c>
      <x:c r="O49" s="18" t="str">
        <x:v>PASS từ dotnet test; 80 tests tổng cộng; 0 fail, 0 skip</x:v>
      </x:c>
      <x:c r="P49" s="18" t="str">
        <x:v>QA console / PowerShell step 5 / 20261027-065343</x:v>
      </x:c>
      <x:c r="Q49" s="18" t="str">
        <x:v>Pass</x:v>
      </x:c>
      <x:c r="R49" s="18"/>
      <x:c r="S49" s="18"/>
      <x:c r="T49" s="18"/>
      <x:c r="U49" s="18"/>
      <x:c r="V49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50" ht="56" customHeight="1">
      <x:c r="A50" s="18" t="str">
        <x:v>UNIT-049</x:v>
      </x:c>
      <x:c r="B50" s="18" t="str">
        <x:v>Domain.ParkingPricingCalculatorTests.TC_PRICE_08_RoundingMode_CEILING_WHOLE_VND(unrounded: 12.9, expected: 13)</x:v>
      </x:c>
      <x:c r="C50" s="18" t="str">
        <x:v>Chưa ánh xạ FR chính thức; source PR #14</x:v>
      </x:c>
      <x:c r="D50" s="18" t="str">
        <x:v>N/A — yêu cầu BR chưa được đối chiếu</x:v>
      </x:c>
      <x:c r="E50" s="18" t="str">
        <x:v>Chưa đối chiếu US</x:v>
      </x:c>
      <x:c r="F50" s="18" t="str">
        <x:v>Chưa đối chiếu UC</x:v>
      </x:c>
      <x:c r="G50" s="18" t="str">
        <x:v>N/A — .NET unit test (internal class/method)</x:v>
      </x:c>
      <x:c r="H50" s="18" t="str">
        <x:v>SPARK-229 (pricing regression; verify issue mapping)</x:v>
      </x:c>
      <x:c r="I50" s="18" t="str">
        <x:v>Unit / automated xUnit (dev tests; QA rerun)</x:v>
      </x:c>
      <x:c r="J50" s="18" t="str">
        <x:v>Medium</x:v>
      </x:c>
      <x:c r="K50" s="18" t="str">
        <x:v>QA commit 5995394ef27c; environment per execution log</x:v>
      </x:c>
      <x:c r="L50" s="18" t="str">
        <x:v>Backend unit/DI; synthetic local data; no real payment</x:v>
      </x:c>
      <x:c r="M50" s="18" t="str">
        <x:v>dotnet test PaymentService test project; inspect named xUnit case + summary 80/80.</x:v>
      </x:c>
      <x:c r="N50" s="18" t="str">
        <x:v>xUnit assertion recorded in source; independent acceptance oracle NOT reviewed. Expected runner result: test Pass; not proof of live business behavior.</x:v>
      </x:c>
      <x:c r="O50" s="18" t="str">
        <x:v>PASS từ dotnet test; 80 tests tổng cộng; 0 fail, 0 skip</x:v>
      </x:c>
      <x:c r="P50" s="18" t="str">
        <x:v>QA console / PowerShell step 5 / 20261027-065343</x:v>
      </x:c>
      <x:c r="Q50" s="18" t="str">
        <x:v>Pass</x:v>
      </x:c>
      <x:c r="R50" s="18"/>
      <x:c r="S50" s="18"/>
      <x:c r="T50" s="18"/>
      <x:c r="U50" s="18"/>
      <x:c r="V50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51" ht="56" customHeight="1">
      <x:c r="A51" s="18" t="str">
        <x:v>UNIT-050</x:v>
      </x:c>
      <x:c r="B51" s="18" t="str">
        <x:v>Domain.ParkingPricingCalculatorTests.TC_PRICE_07_RoundingMode_HALF_UP_WHOLE_VND(unrounded: 12.6, expected: 13)</x:v>
      </x:c>
      <x:c r="C51" s="18" t="str">
        <x:v>Chưa ánh xạ FR chính thức; source PR #14</x:v>
      </x:c>
      <x:c r="D51" s="18" t="str">
        <x:v>N/A — yêu cầu BR chưa được đối chiếu</x:v>
      </x:c>
      <x:c r="E51" s="18" t="str">
        <x:v>Chưa đối chiếu US</x:v>
      </x:c>
      <x:c r="F51" s="18" t="str">
        <x:v>Chưa đối chiếu UC</x:v>
      </x:c>
      <x:c r="G51" s="18" t="str">
        <x:v>N/A — .NET unit test (internal class/method)</x:v>
      </x:c>
      <x:c r="H51" s="18" t="str">
        <x:v>SPARK-229 (pricing regression; verify issue mapping)</x:v>
      </x:c>
      <x:c r="I51" s="18" t="str">
        <x:v>Unit / automated xUnit (dev tests; QA rerun)</x:v>
      </x:c>
      <x:c r="J51" s="18" t="str">
        <x:v>Medium</x:v>
      </x:c>
      <x:c r="K51" s="18" t="str">
        <x:v>QA commit 5995394ef27c; environment per execution log</x:v>
      </x:c>
      <x:c r="L51" s="18" t="str">
        <x:v>Backend unit/DI; synthetic local data; no real payment</x:v>
      </x:c>
      <x:c r="M51" s="18" t="str">
        <x:v>dotnet test PaymentService test project; inspect named xUnit case + summary 80/80.</x:v>
      </x:c>
      <x:c r="N51" s="18" t="str">
        <x:v>xUnit assertion recorded in source; independent acceptance oracle NOT reviewed. Expected runner result: test Pass; not proof of live business behavior.</x:v>
      </x:c>
      <x:c r="O51" s="18" t="str">
        <x:v>PASS từ dotnet test; 80 tests tổng cộng; 0 fail, 0 skip</x:v>
      </x:c>
      <x:c r="P51" s="18" t="str">
        <x:v>QA console / PowerShell step 5 / 20261027-065343</x:v>
      </x:c>
      <x:c r="Q51" s="18" t="str">
        <x:v>Pass</x:v>
      </x:c>
      <x:c r="R51" s="18"/>
      <x:c r="S51" s="18"/>
      <x:c r="T51" s="18"/>
      <x:c r="U51" s="18"/>
      <x:c r="V51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52" ht="56" customHeight="1">
      <x:c r="A52" s="18" t="str">
        <x:v>UNIT-051</x:v>
      </x:c>
      <x:c r="B52" s="18" t="str">
        <x:v>Domain.ParkingPricingCalculatorTests.TC_PRICE_07_RoundingMode_HALF_UP_WHOLE_VND(unrounded: 12.4, expected: 12)</x:v>
      </x:c>
      <x:c r="C52" s="18" t="str">
        <x:v>Chưa ánh xạ FR chính thức; source PR #14</x:v>
      </x:c>
      <x:c r="D52" s="18" t="str">
        <x:v>N/A — yêu cầu BR chưa được đối chiếu</x:v>
      </x:c>
      <x:c r="E52" s="18" t="str">
        <x:v>Chưa đối chiếu US</x:v>
      </x:c>
      <x:c r="F52" s="18" t="str">
        <x:v>Chưa đối chiếu UC</x:v>
      </x:c>
      <x:c r="G52" s="18" t="str">
        <x:v>N/A — .NET unit test (internal class/method)</x:v>
      </x:c>
      <x:c r="H52" s="18" t="str">
        <x:v>SPARK-229 (pricing regression; verify issue mapping)</x:v>
      </x:c>
      <x:c r="I52" s="18" t="str">
        <x:v>Unit / automated xUnit (dev tests; QA rerun)</x:v>
      </x:c>
      <x:c r="J52" s="18" t="str">
        <x:v>Medium</x:v>
      </x:c>
      <x:c r="K52" s="18" t="str">
        <x:v>QA commit 5995394ef27c; environment per execution log</x:v>
      </x:c>
      <x:c r="L52" s="18" t="str">
        <x:v>Backend unit/DI; synthetic local data; no real payment</x:v>
      </x:c>
      <x:c r="M52" s="18" t="str">
        <x:v>dotnet test PaymentService test project; inspect named xUnit case + summary 80/80.</x:v>
      </x:c>
      <x:c r="N52" s="18" t="str">
        <x:v>xUnit assertion recorded in source; independent acceptance oracle NOT reviewed. Expected runner result: test Pass; not proof of live business behavior.</x:v>
      </x:c>
      <x:c r="O52" s="18" t="str">
        <x:v>PASS từ dotnet test; 80 tests tổng cộng; 0 fail, 0 skip</x:v>
      </x:c>
      <x:c r="P52" s="18" t="str">
        <x:v>QA console / PowerShell step 5 / 20261027-065343</x:v>
      </x:c>
      <x:c r="Q52" s="18" t="str">
        <x:v>Pass</x:v>
      </x:c>
      <x:c r="R52" s="18"/>
      <x:c r="S52" s="18"/>
      <x:c r="T52" s="18"/>
      <x:c r="U52" s="18"/>
      <x:c r="V52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53" ht="56" customHeight="1">
      <x:c r="A53" s="18" t="str">
        <x:v>UNIT-052</x:v>
      </x:c>
      <x:c r="B53" s="18" t="str">
        <x:v>Domain.ParkingPricingCalculatorTests.TC_PRICE_07_RoundingMode_HALF_UP_WHOLE_VND(unrounded: 12.5, expected: 13)</x:v>
      </x:c>
      <x:c r="C53" s="18" t="str">
        <x:v>Chưa ánh xạ FR chính thức; source PR #14</x:v>
      </x:c>
      <x:c r="D53" s="18" t="str">
        <x:v>N/A — yêu cầu BR chưa được đối chiếu</x:v>
      </x:c>
      <x:c r="E53" s="18" t="str">
        <x:v>Chưa đối chiếu US</x:v>
      </x:c>
      <x:c r="F53" s="18" t="str">
        <x:v>Chưa đối chiếu UC</x:v>
      </x:c>
      <x:c r="G53" s="18" t="str">
        <x:v>N/A — .NET unit test (internal class/method)</x:v>
      </x:c>
      <x:c r="H53" s="18" t="str">
        <x:v>SPARK-229 (pricing regression; verify issue mapping)</x:v>
      </x:c>
      <x:c r="I53" s="18" t="str">
        <x:v>Unit / automated xUnit (dev tests; QA rerun)</x:v>
      </x:c>
      <x:c r="J53" s="18" t="str">
        <x:v>Medium</x:v>
      </x:c>
      <x:c r="K53" s="18" t="str">
        <x:v>QA commit 5995394ef27c; environment per execution log</x:v>
      </x:c>
      <x:c r="L53" s="18" t="str">
        <x:v>Backend unit/DI; synthetic local data; no real payment</x:v>
      </x:c>
      <x:c r="M53" s="18" t="str">
        <x:v>dotnet test PaymentService test project; inspect named xUnit case + summary 80/80.</x:v>
      </x:c>
      <x:c r="N53" s="18" t="str">
        <x:v>xUnit assertion recorded in source; independent acceptance oracle NOT reviewed. Expected runner result: test Pass; not proof of live business behavior.</x:v>
      </x:c>
      <x:c r="O53" s="18" t="str">
        <x:v>PASS từ dotnet test; 80 tests tổng cộng; 0 fail, 0 skip</x:v>
      </x:c>
      <x:c r="P53" s="18" t="str">
        <x:v>QA console / PowerShell step 5 / 20261027-065343</x:v>
      </x:c>
      <x:c r="Q53" s="18" t="str">
        <x:v>Pass</x:v>
      </x:c>
      <x:c r="R53" s="18"/>
      <x:c r="S53" s="18"/>
      <x:c r="T53" s="18"/>
      <x:c r="U53" s="18"/>
      <x:c r="V53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54" ht="56" customHeight="1">
      <x:c r="A54" s="18" t="str">
        <x:v>UNIT-053</x:v>
      </x:c>
      <x:c r="B54" s="18" t="str">
        <x:v>Domain.ParkingPricingCalculatorTests.TC_PRICE_03_StandardDaytime_ShouldChargeAccurately</x:v>
      </x:c>
      <x:c r="C54" s="18" t="str">
        <x:v>Chưa ánh xạ FR chính thức; source PR #14</x:v>
      </x:c>
      <x:c r="D54" s="18" t="str">
        <x:v>N/A — yêu cầu BR chưa được đối chiếu</x:v>
      </x:c>
      <x:c r="E54" s="18" t="str">
        <x:v>Chưa đối chiếu US</x:v>
      </x:c>
      <x:c r="F54" s="18" t="str">
        <x:v>Chưa đối chiếu UC</x:v>
      </x:c>
      <x:c r="G54" s="18" t="str">
        <x:v>N/A — .NET unit test (internal class/method)</x:v>
      </x:c>
      <x:c r="H54" s="18" t="str">
        <x:v>SPARK-229 (pricing regression; verify issue mapping)</x:v>
      </x:c>
      <x:c r="I54" s="18" t="str">
        <x:v>Unit / automated xUnit (dev tests; QA rerun)</x:v>
      </x:c>
      <x:c r="J54" s="18" t="str">
        <x:v>Medium</x:v>
      </x:c>
      <x:c r="K54" s="18" t="str">
        <x:v>QA commit 5995394ef27c; environment per execution log</x:v>
      </x:c>
      <x:c r="L54" s="18" t="str">
        <x:v>Backend unit/DI; synthetic local data; no real payment</x:v>
      </x:c>
      <x:c r="M54" s="18" t="str">
        <x:v>dotnet test PaymentService test project; inspect named xUnit case + summary 80/80.</x:v>
      </x:c>
      <x:c r="N54" s="18" t="str">
        <x:v>xUnit assertion recorded in source; independent acceptance oracle NOT reviewed. Expected runner result: test Pass; not proof of live business behavior.</x:v>
      </x:c>
      <x:c r="O54" s="18" t="str">
        <x:v>PASS từ dotnet test; 80 tests tổng cộng; 0 fail, 0 skip</x:v>
      </x:c>
      <x:c r="P54" s="18" t="str">
        <x:v>QA console / PowerShell step 5 / 20261027-065343</x:v>
      </x:c>
      <x:c r="Q54" s="18" t="str">
        <x:v>Pass</x:v>
      </x:c>
      <x:c r="R54" s="18"/>
      <x:c r="S54" s="18"/>
      <x:c r="T54" s="18"/>
      <x:c r="U54" s="18"/>
      <x:c r="V54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55" ht="56" customHeight="1">
      <x:c r="A55" s="18" t="str">
        <x:v>UNIT-054</x:v>
      </x:c>
      <x:c r="B55" s="18" t="str">
        <x:v>Domain.ParkingPricingCalculatorTests.TC_PRICE_14_VehicleTypeMismatch_ThrowsPricingDomainException</x:v>
      </x:c>
      <x:c r="C55" s="18" t="str">
        <x:v>Chưa ánh xạ FR chính thức; source PR #14</x:v>
      </x:c>
      <x:c r="D55" s="18" t="str">
        <x:v>N/A — yêu cầu BR chưa được đối chiếu</x:v>
      </x:c>
      <x:c r="E55" s="18" t="str">
        <x:v>Chưa đối chiếu US</x:v>
      </x:c>
      <x:c r="F55" s="18" t="str">
        <x:v>Chưa đối chiếu UC</x:v>
      </x:c>
      <x:c r="G55" s="18" t="str">
        <x:v>N/A — .NET unit test (internal class/method)</x:v>
      </x:c>
      <x:c r="H55" s="18" t="str">
        <x:v>SPARK-229 (pricing regression; verify issue mapping)</x:v>
      </x:c>
      <x:c r="I55" s="18" t="str">
        <x:v>Unit / automated xUnit (dev tests; QA rerun)</x:v>
      </x:c>
      <x:c r="J55" s="18" t="str">
        <x:v>Medium</x:v>
      </x:c>
      <x:c r="K55" s="18" t="str">
        <x:v>QA commit 5995394ef27c; environment per execution log</x:v>
      </x:c>
      <x:c r="L55" s="18" t="str">
        <x:v>Backend unit/DI; synthetic local data; no real payment</x:v>
      </x:c>
      <x:c r="M55" s="18" t="str">
        <x:v>dotnet test PaymentService test project; inspect named xUnit case + summary 80/80.</x:v>
      </x:c>
      <x:c r="N55" s="18" t="str">
        <x:v>xUnit assertion recorded in source; independent acceptance oracle NOT reviewed. Expected runner result: test Pass; not proof of live business behavior.</x:v>
      </x:c>
      <x:c r="O55" s="18" t="str">
        <x:v>PASS từ dotnet test; 80 tests tổng cộng; 0 fail, 0 skip</x:v>
      </x:c>
      <x:c r="P55" s="18" t="str">
        <x:v>QA console / PowerShell step 5 / 20261027-065343</x:v>
      </x:c>
      <x:c r="Q55" s="18" t="str">
        <x:v>Pass</x:v>
      </x:c>
      <x:c r="R55" s="18"/>
      <x:c r="S55" s="18"/>
      <x:c r="T55" s="18"/>
      <x:c r="U55" s="18"/>
      <x:c r="V55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56" ht="56" customHeight="1">
      <x:c r="A56" s="18" t="str">
        <x:v>UNIT-055</x:v>
      </x:c>
      <x:c r="B56" s="18" t="str">
        <x:v>Domain.ParkingPricingCalculatorTests.TC_PRICE_10_RoundingMode_CEILING_THOUSAND(unrounded: 1001, expected: 2000)</x:v>
      </x:c>
      <x:c r="C56" s="18" t="str">
        <x:v>Chưa ánh xạ FR chính thức; source PR #14</x:v>
      </x:c>
      <x:c r="D56" s="18" t="str">
        <x:v>N/A — yêu cầu BR chưa được đối chiếu</x:v>
      </x:c>
      <x:c r="E56" s="18" t="str">
        <x:v>Chưa đối chiếu US</x:v>
      </x:c>
      <x:c r="F56" s="18" t="str">
        <x:v>Chưa đối chiếu UC</x:v>
      </x:c>
      <x:c r="G56" s="18" t="str">
        <x:v>N/A — .NET unit test (internal class/method)</x:v>
      </x:c>
      <x:c r="H56" s="18" t="str">
        <x:v>SPARK-229 (pricing regression; verify issue mapping)</x:v>
      </x:c>
      <x:c r="I56" s="18" t="str">
        <x:v>Unit / automated xUnit (dev tests; QA rerun)</x:v>
      </x:c>
      <x:c r="J56" s="18" t="str">
        <x:v>Medium</x:v>
      </x:c>
      <x:c r="K56" s="18" t="str">
        <x:v>QA commit 5995394ef27c; environment per execution log</x:v>
      </x:c>
      <x:c r="L56" s="18" t="str">
        <x:v>Backend unit/DI; synthetic local data; no real payment</x:v>
      </x:c>
      <x:c r="M56" s="18" t="str">
        <x:v>dotnet test PaymentService test project; inspect named xUnit case + summary 80/80.</x:v>
      </x:c>
      <x:c r="N56" s="18" t="str">
        <x:v>xUnit assertion recorded in source; independent acceptance oracle NOT reviewed. Expected runner result: test Pass; not proof of live business behavior.</x:v>
      </x:c>
      <x:c r="O56" s="18" t="str">
        <x:v>PASS từ dotnet test; 80 tests tổng cộng; 0 fail, 0 skip</x:v>
      </x:c>
      <x:c r="P56" s="18" t="str">
        <x:v>QA console / PowerShell step 5 / 20261027-065343</x:v>
      </x:c>
      <x:c r="Q56" s="18" t="str">
        <x:v>Pass</x:v>
      </x:c>
      <x:c r="R56" s="18"/>
      <x:c r="S56" s="18"/>
      <x:c r="T56" s="18"/>
      <x:c r="U56" s="18"/>
      <x:c r="V56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57" ht="56" customHeight="1">
      <x:c r="A57" s="18" t="str">
        <x:v>UNIT-056</x:v>
      </x:c>
      <x:c r="B57" s="18" t="str">
        <x:v>Domain.ParkingPricingCalculatorTests.TC_PRICE_10_RoundingMode_CEILING_THOUSAND(unrounded: 1999, expected: 2000)</x:v>
      </x:c>
      <x:c r="C57" s="18" t="str">
        <x:v>Chưa ánh xạ FR chính thức; source PR #14</x:v>
      </x:c>
      <x:c r="D57" s="18" t="str">
        <x:v>N/A — yêu cầu BR chưa được đối chiếu</x:v>
      </x:c>
      <x:c r="E57" s="18" t="str">
        <x:v>Chưa đối chiếu US</x:v>
      </x:c>
      <x:c r="F57" s="18" t="str">
        <x:v>Chưa đối chiếu UC</x:v>
      </x:c>
      <x:c r="G57" s="18" t="str">
        <x:v>N/A — .NET unit test (internal class/method)</x:v>
      </x:c>
      <x:c r="H57" s="18" t="str">
        <x:v>SPARK-229 (pricing regression; verify issue mapping)</x:v>
      </x:c>
      <x:c r="I57" s="18" t="str">
        <x:v>Unit / automated xUnit (dev tests; QA rerun)</x:v>
      </x:c>
      <x:c r="J57" s="18" t="str">
        <x:v>Medium</x:v>
      </x:c>
      <x:c r="K57" s="18" t="str">
        <x:v>QA commit 5995394ef27c; environment per execution log</x:v>
      </x:c>
      <x:c r="L57" s="18" t="str">
        <x:v>Backend unit/DI; synthetic local data; no real payment</x:v>
      </x:c>
      <x:c r="M57" s="18" t="str">
        <x:v>dotnet test PaymentService test project; inspect named xUnit case + summary 80/80.</x:v>
      </x:c>
      <x:c r="N57" s="18" t="str">
        <x:v>xUnit assertion recorded in source; independent acceptance oracle NOT reviewed. Expected runner result: test Pass; not proof of live business behavior.</x:v>
      </x:c>
      <x:c r="O57" s="18" t="str">
        <x:v>PASS từ dotnet test; 80 tests tổng cộng; 0 fail, 0 skip</x:v>
      </x:c>
      <x:c r="P57" s="18" t="str">
        <x:v>QA console / PowerShell step 5 / 20261027-065343</x:v>
      </x:c>
      <x:c r="Q57" s="18" t="str">
        <x:v>Pass</x:v>
      </x:c>
      <x:c r="R57" s="18"/>
      <x:c r="S57" s="18"/>
      <x:c r="T57" s="18"/>
      <x:c r="U57" s="18"/>
      <x:c r="V57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58" ht="56" customHeight="1">
      <x:c r="A58" s="18" t="str">
        <x:v>UNIT-057</x:v>
      </x:c>
      <x:c r="B58" s="18" t="str">
        <x:v>Domain.ParkingPricingCalculatorTests.TC_PRICE_10_RoundingMode_CEILING_THOUSAND(unrounded: 1000, expected: 1000)</x:v>
      </x:c>
      <x:c r="C58" s="18" t="str">
        <x:v>Chưa ánh xạ FR chính thức; source PR #14</x:v>
      </x:c>
      <x:c r="D58" s="18" t="str">
        <x:v>N/A — yêu cầu BR chưa được đối chiếu</x:v>
      </x:c>
      <x:c r="E58" s="18" t="str">
        <x:v>Chưa đối chiếu US</x:v>
      </x:c>
      <x:c r="F58" s="18" t="str">
        <x:v>Chưa đối chiếu UC</x:v>
      </x:c>
      <x:c r="G58" s="18" t="str">
        <x:v>N/A — .NET unit test (internal class/method)</x:v>
      </x:c>
      <x:c r="H58" s="18" t="str">
        <x:v>SPARK-229 (pricing regression; verify issue mapping)</x:v>
      </x:c>
      <x:c r="I58" s="18" t="str">
        <x:v>Unit / automated xUnit (dev tests; QA rerun)</x:v>
      </x:c>
      <x:c r="J58" s="18" t="str">
        <x:v>Medium</x:v>
      </x:c>
      <x:c r="K58" s="18" t="str">
        <x:v>QA commit 5995394ef27c; environment per execution log</x:v>
      </x:c>
      <x:c r="L58" s="18" t="str">
        <x:v>Backend unit/DI; synthetic local data; no real payment</x:v>
      </x:c>
      <x:c r="M58" s="18" t="str">
        <x:v>dotnet test PaymentService test project; inspect named xUnit case + summary 80/80.</x:v>
      </x:c>
      <x:c r="N58" s="18" t="str">
        <x:v>xUnit assertion recorded in source; independent acceptance oracle NOT reviewed. Expected runner result: test Pass; not proof of live business behavior.</x:v>
      </x:c>
      <x:c r="O58" s="18" t="str">
        <x:v>PASS từ dotnet test; 80 tests tổng cộng; 0 fail, 0 skip</x:v>
      </x:c>
      <x:c r="P58" s="18" t="str">
        <x:v>QA console / PowerShell step 5 / 20261027-065343</x:v>
      </x:c>
      <x:c r="Q58" s="18" t="str">
        <x:v>Pass</x:v>
      </x:c>
      <x:c r="R58" s="18"/>
      <x:c r="S58" s="18"/>
      <x:c r="T58" s="18"/>
      <x:c r="U58" s="18"/>
      <x:c r="V58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59" ht="56" customHeight="1">
      <x:c r="A59" s="18" t="str">
        <x:v>UNIT-058</x:v>
      </x:c>
      <x:c r="B59" s="18" t="str">
        <x:v>Domain.ParkingPricingCalculatorTests.TC_PRICE_02_ExactGracePeriod_ShouldBeFree</x:v>
      </x:c>
      <x:c r="C59" s="18" t="str">
        <x:v>Chưa ánh xạ FR chính thức; source PR #14</x:v>
      </x:c>
      <x:c r="D59" s="18" t="str">
        <x:v>N/A — yêu cầu BR chưa được đối chiếu</x:v>
      </x:c>
      <x:c r="E59" s="18" t="str">
        <x:v>Chưa đối chiếu US</x:v>
      </x:c>
      <x:c r="F59" s="18" t="str">
        <x:v>Chưa đối chiếu UC</x:v>
      </x:c>
      <x:c r="G59" s="18" t="str">
        <x:v>N/A — .NET unit test (internal class/method)</x:v>
      </x:c>
      <x:c r="H59" s="18" t="str">
        <x:v>SPARK-229 (pricing regression; verify issue mapping)</x:v>
      </x:c>
      <x:c r="I59" s="18" t="str">
        <x:v>Unit / automated xUnit (dev tests; QA rerun)</x:v>
      </x:c>
      <x:c r="J59" s="18" t="str">
        <x:v>Medium</x:v>
      </x:c>
      <x:c r="K59" s="18" t="str">
        <x:v>QA commit 5995394ef27c; environment per execution log</x:v>
      </x:c>
      <x:c r="L59" s="18" t="str">
        <x:v>Backend unit/DI; synthetic local data; no real payment</x:v>
      </x:c>
      <x:c r="M59" s="18" t="str">
        <x:v>dotnet test PaymentService test project; inspect named xUnit case + summary 80/80.</x:v>
      </x:c>
      <x:c r="N59" s="18" t="str">
        <x:v>xUnit assertion recorded in source; independent acceptance oracle NOT reviewed. Expected runner result: test Pass; not proof of live business behavior.</x:v>
      </x:c>
      <x:c r="O59" s="18" t="str">
        <x:v>PASS từ dotnet test; 80 tests tổng cộng; 0 fail, 0 skip</x:v>
      </x:c>
      <x:c r="P59" s="18" t="str">
        <x:v>QA console / PowerShell step 5 / 20261027-065343</x:v>
      </x:c>
      <x:c r="Q59" s="18" t="str">
        <x:v>Pass</x:v>
      </x:c>
      <x:c r="R59" s="18"/>
      <x:c r="S59" s="18"/>
      <x:c r="T59" s="18"/>
      <x:c r="U59" s="18"/>
      <x:c r="V59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60" ht="56" customHeight="1">
      <x:c r="A60" s="18" t="str">
        <x:v>UNIT-059</x:v>
      </x:c>
      <x:c r="B60" s="18" t="str">
        <x:v>Domain.ParkingPricingCalculatorTests.TC_PRICE_12_InvalidTimeRange_ThrowsPricingDomainException</x:v>
      </x:c>
      <x:c r="C60" s="18" t="str">
        <x:v>Chưa ánh xạ FR chính thức; source PR #14</x:v>
      </x:c>
      <x:c r="D60" s="18" t="str">
        <x:v>N/A — yêu cầu BR chưa được đối chiếu</x:v>
      </x:c>
      <x:c r="E60" s="18" t="str">
        <x:v>Chưa đối chiếu US</x:v>
      </x:c>
      <x:c r="F60" s="18" t="str">
        <x:v>Chưa đối chiếu UC</x:v>
      </x:c>
      <x:c r="G60" s="18" t="str">
        <x:v>N/A — .NET unit test (internal class/method)</x:v>
      </x:c>
      <x:c r="H60" s="18" t="str">
        <x:v>SPARK-229 (pricing regression; verify issue mapping)</x:v>
      </x:c>
      <x:c r="I60" s="18" t="str">
        <x:v>Unit / automated xUnit (dev tests; QA rerun)</x:v>
      </x:c>
      <x:c r="J60" s="18" t="str">
        <x:v>Medium</x:v>
      </x:c>
      <x:c r="K60" s="18" t="str">
        <x:v>QA commit 5995394ef27c; environment per execution log</x:v>
      </x:c>
      <x:c r="L60" s="18" t="str">
        <x:v>Backend unit/DI; synthetic local data; no real payment</x:v>
      </x:c>
      <x:c r="M60" s="18" t="str">
        <x:v>dotnet test PaymentService test project; inspect named xUnit case + summary 80/80.</x:v>
      </x:c>
      <x:c r="N60" s="18" t="str">
        <x:v>xUnit assertion recorded in source; independent acceptance oracle NOT reviewed. Expected runner result: test Pass; not proof of live business behavior.</x:v>
      </x:c>
      <x:c r="O60" s="18" t="str">
        <x:v>PASS từ dotnet test; 80 tests tổng cộng; 0 fail, 0 skip</x:v>
      </x:c>
      <x:c r="P60" s="18" t="str">
        <x:v>QA console / PowerShell step 5 / 20261027-065343</x:v>
      </x:c>
      <x:c r="Q60" s="18" t="str">
        <x:v>Pass</x:v>
      </x:c>
      <x:c r="R60" s="18"/>
      <x:c r="S60" s="18"/>
      <x:c r="T60" s="18"/>
      <x:c r="U60" s="18"/>
      <x:c r="V60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61" ht="56" customHeight="1">
      <x:c r="A61" s="18" t="str">
        <x:v>UNIT-060</x:v>
      </x:c>
      <x:c r="B61" s="18" t="str">
        <x:v>Domain.ParkingPricingCalculatorTests.TC_PRICE_04_DayAndEveningBoundaryCrossing_ShouldSplitAndSum</x:v>
      </x:c>
      <x:c r="C61" s="18" t="str">
        <x:v>Chưa ánh xạ FR chính thức; source PR #14</x:v>
      </x:c>
      <x:c r="D61" s="18" t="str">
        <x:v>N/A — yêu cầu BR chưa được đối chiếu</x:v>
      </x:c>
      <x:c r="E61" s="18" t="str">
        <x:v>Chưa đối chiếu US</x:v>
      </x:c>
      <x:c r="F61" s="18" t="str">
        <x:v>Chưa đối chiếu UC</x:v>
      </x:c>
      <x:c r="G61" s="18" t="str">
        <x:v>N/A — .NET unit test (internal class/method)</x:v>
      </x:c>
      <x:c r="H61" s="18" t="str">
        <x:v>SPARK-229 (pricing regression; verify issue mapping)</x:v>
      </x:c>
      <x:c r="I61" s="18" t="str">
        <x:v>Unit / automated xUnit (dev tests; QA rerun)</x:v>
      </x:c>
      <x:c r="J61" s="18" t="str">
        <x:v>Medium</x:v>
      </x:c>
      <x:c r="K61" s="18" t="str">
        <x:v>QA commit 5995394ef27c; environment per execution log</x:v>
      </x:c>
      <x:c r="L61" s="18" t="str">
        <x:v>Backend unit/DI; synthetic local data; no real payment</x:v>
      </x:c>
      <x:c r="M61" s="18" t="str">
        <x:v>dotnet test PaymentService test project; inspect named xUnit case + summary 80/80.</x:v>
      </x:c>
      <x:c r="N61" s="18" t="str">
        <x:v>xUnit assertion recorded in source; independent acceptance oracle NOT reviewed. Expected runner result: test Pass; not proof of live business behavior.</x:v>
      </x:c>
      <x:c r="O61" s="18" t="str">
        <x:v>PASS từ dotnet test; 80 tests tổng cộng; 0 fail, 0 skip</x:v>
      </x:c>
      <x:c r="P61" s="18" t="str">
        <x:v>QA console / PowerShell step 5 / 20261027-065343</x:v>
      </x:c>
      <x:c r="Q61" s="18" t="str">
        <x:v>Pass</x:v>
      </x:c>
      <x:c r="R61" s="18"/>
      <x:c r="S61" s="18"/>
      <x:c r="T61" s="18"/>
      <x:c r="U61" s="18"/>
      <x:c r="V61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62" ht="56" customHeight="1">
      <x:c r="A62" s="18" t="str">
        <x:v>UNIT-061</x:v>
      </x:c>
      <x:c r="B62" s="18" t="str">
        <x:v>Domain.ParkingPricingCalculatorTests.TC_PRICE_11_ZeroMinutesParked_EntryEqualsExit_ShouldBeZeroFee</x:v>
      </x:c>
      <x:c r="C62" s="18" t="str">
        <x:v>Chưa ánh xạ FR chính thức; source PR #14</x:v>
      </x:c>
      <x:c r="D62" s="18" t="str">
        <x:v>N/A — yêu cầu BR chưa được đối chiếu</x:v>
      </x:c>
      <x:c r="E62" s="18" t="str">
        <x:v>Chưa đối chiếu US</x:v>
      </x:c>
      <x:c r="F62" s="18" t="str">
        <x:v>Chưa đối chiếu UC</x:v>
      </x:c>
      <x:c r="G62" s="18" t="str">
        <x:v>N/A — .NET unit test (internal class/method)</x:v>
      </x:c>
      <x:c r="H62" s="18" t="str">
        <x:v>SPARK-229 (pricing regression; verify issue mapping)</x:v>
      </x:c>
      <x:c r="I62" s="18" t="str">
        <x:v>Unit / automated xUnit (dev tests; QA rerun)</x:v>
      </x:c>
      <x:c r="J62" s="18" t="str">
        <x:v>Medium</x:v>
      </x:c>
      <x:c r="K62" s="18" t="str">
        <x:v>QA commit 5995394ef27c; environment per execution log</x:v>
      </x:c>
      <x:c r="L62" s="18" t="str">
        <x:v>Backend unit/DI; synthetic local data; no real payment</x:v>
      </x:c>
      <x:c r="M62" s="18" t="str">
        <x:v>dotnet test PaymentService test project; inspect named xUnit case + summary 80/80.</x:v>
      </x:c>
      <x:c r="N62" s="18" t="str">
        <x:v>xUnit assertion recorded in source; independent acceptance oracle NOT reviewed. Expected runner result: test Pass; not proof of live business behavior.</x:v>
      </x:c>
      <x:c r="O62" s="18" t="str">
        <x:v>PASS từ dotnet test; 80 tests tổng cộng; 0 fail, 0 skip</x:v>
      </x:c>
      <x:c r="P62" s="18" t="str">
        <x:v>QA console / PowerShell step 5 / 20261027-065343</x:v>
      </x:c>
      <x:c r="Q62" s="18" t="str">
        <x:v>Pass</x:v>
      </x:c>
      <x:c r="R62" s="18"/>
      <x:c r="S62" s="18"/>
      <x:c r="T62" s="18"/>
      <x:c r="U62" s="18"/>
      <x:c r="V62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63" ht="56" customHeight="1">
      <x:c r="A63" s="18" t="str">
        <x:v>UNIT-062</x:v>
      </x:c>
      <x:c r="B63" s="18" t="str">
        <x:v>Domain.ParkingPricingCalculatorTests.TC_PRICE_09_RoundingMode_HALF_UP_THOUSAND(unrounded: 1500, expected: 2000)</x:v>
      </x:c>
      <x:c r="C63" s="18" t="str">
        <x:v>Chưa ánh xạ FR chính thức; source PR #14</x:v>
      </x:c>
      <x:c r="D63" s="18" t="str">
        <x:v>N/A — yêu cầu BR chưa được đối chiếu</x:v>
      </x:c>
      <x:c r="E63" s="18" t="str">
        <x:v>Chưa đối chiếu US</x:v>
      </x:c>
      <x:c r="F63" s="18" t="str">
        <x:v>Chưa đối chiếu UC</x:v>
      </x:c>
      <x:c r="G63" s="18" t="str">
        <x:v>N/A — .NET unit test (internal class/method)</x:v>
      </x:c>
      <x:c r="H63" s="18" t="str">
        <x:v>SPARK-229 (pricing regression; verify issue mapping)</x:v>
      </x:c>
      <x:c r="I63" s="18" t="str">
        <x:v>Unit / automated xUnit (dev tests; QA rerun)</x:v>
      </x:c>
      <x:c r="J63" s="18" t="str">
        <x:v>Medium</x:v>
      </x:c>
      <x:c r="K63" s="18" t="str">
        <x:v>QA commit 5995394ef27c; environment per execution log</x:v>
      </x:c>
      <x:c r="L63" s="18" t="str">
        <x:v>Backend unit/DI; synthetic local data; no real payment</x:v>
      </x:c>
      <x:c r="M63" s="18" t="str">
        <x:v>dotnet test PaymentService test project; inspect named xUnit case + summary 80/80.</x:v>
      </x:c>
      <x:c r="N63" s="18" t="str">
        <x:v>xUnit assertion recorded in source; independent acceptance oracle NOT reviewed. Expected runner result: test Pass; not proof of live business behavior.</x:v>
      </x:c>
      <x:c r="O63" s="18" t="str">
        <x:v>PASS từ dotnet test; 80 tests tổng cộng; 0 fail, 0 skip</x:v>
      </x:c>
      <x:c r="P63" s="18" t="str">
        <x:v>QA console / PowerShell step 5 / 20261027-065343</x:v>
      </x:c>
      <x:c r="Q63" s="18" t="str">
        <x:v>Pass</x:v>
      </x:c>
      <x:c r="R63" s="18"/>
      <x:c r="S63" s="18"/>
      <x:c r="T63" s="18"/>
      <x:c r="U63" s="18"/>
      <x:c r="V63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64" ht="56" customHeight="1">
      <x:c r="A64" s="18" t="str">
        <x:v>UNIT-063</x:v>
      </x:c>
      <x:c r="B64" s="18" t="str">
        <x:v>Domain.ParkingPricingCalculatorTests.TC_PRICE_09_RoundingMode_HALF_UP_THOUSAND(unrounded: 1501, expected: 2000)</x:v>
      </x:c>
      <x:c r="C64" s="18" t="str">
        <x:v>Chưa ánh xạ FR chính thức; source PR #14</x:v>
      </x:c>
      <x:c r="D64" s="18" t="str">
        <x:v>N/A — yêu cầu BR chưa được đối chiếu</x:v>
      </x:c>
      <x:c r="E64" s="18" t="str">
        <x:v>Chưa đối chiếu US</x:v>
      </x:c>
      <x:c r="F64" s="18" t="str">
        <x:v>Chưa đối chiếu UC</x:v>
      </x:c>
      <x:c r="G64" s="18" t="str">
        <x:v>N/A — .NET unit test (internal class/method)</x:v>
      </x:c>
      <x:c r="H64" s="18" t="str">
        <x:v>SPARK-229 (pricing regression; verify issue mapping)</x:v>
      </x:c>
      <x:c r="I64" s="18" t="str">
        <x:v>Unit / automated xUnit (dev tests; QA rerun)</x:v>
      </x:c>
      <x:c r="J64" s="18" t="str">
        <x:v>Medium</x:v>
      </x:c>
      <x:c r="K64" s="18" t="str">
        <x:v>QA commit 5995394ef27c; environment per execution log</x:v>
      </x:c>
      <x:c r="L64" s="18" t="str">
        <x:v>Backend unit/DI; synthetic local data; no real payment</x:v>
      </x:c>
      <x:c r="M64" s="18" t="str">
        <x:v>dotnet test PaymentService test project; inspect named xUnit case + summary 80/80.</x:v>
      </x:c>
      <x:c r="N64" s="18" t="str">
        <x:v>xUnit assertion recorded in source; independent acceptance oracle NOT reviewed. Expected runner result: test Pass; not proof of live business behavior.</x:v>
      </x:c>
      <x:c r="O64" s="18" t="str">
        <x:v>PASS từ dotnet test; 80 tests tổng cộng; 0 fail, 0 skip</x:v>
      </x:c>
      <x:c r="P64" s="18" t="str">
        <x:v>QA console / PowerShell step 5 / 20261027-065343</x:v>
      </x:c>
      <x:c r="Q64" s="18" t="str">
        <x:v>Pass</x:v>
      </x:c>
      <x:c r="R64" s="18"/>
      <x:c r="S64" s="18"/>
      <x:c r="T64" s="18"/>
      <x:c r="U64" s="18"/>
      <x:c r="V64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65" ht="56" customHeight="1">
      <x:c r="A65" s="18" t="str">
        <x:v>UNIT-064</x:v>
      </x:c>
      <x:c r="B65" s="18" t="str">
        <x:v>Domain.ParkingPricingCalculatorTests.TC_PRICE_09_RoundingMode_HALF_UP_THOUSAND(unrounded: 1499, expected: 1000)</x:v>
      </x:c>
      <x:c r="C65" s="18" t="str">
        <x:v>Chưa ánh xạ FR chính thức; source PR #14</x:v>
      </x:c>
      <x:c r="D65" s="18" t="str">
        <x:v>N/A — yêu cầu BR chưa được đối chiếu</x:v>
      </x:c>
      <x:c r="E65" s="18" t="str">
        <x:v>Chưa đối chiếu US</x:v>
      </x:c>
      <x:c r="F65" s="18" t="str">
        <x:v>Chưa đối chiếu UC</x:v>
      </x:c>
      <x:c r="G65" s="18" t="str">
        <x:v>N/A — .NET unit test (internal class/method)</x:v>
      </x:c>
      <x:c r="H65" s="18" t="str">
        <x:v>SPARK-229 (pricing regression; verify issue mapping)</x:v>
      </x:c>
      <x:c r="I65" s="18" t="str">
        <x:v>Unit / automated xUnit (dev tests; QA rerun)</x:v>
      </x:c>
      <x:c r="J65" s="18" t="str">
        <x:v>Medium</x:v>
      </x:c>
      <x:c r="K65" s="18" t="str">
        <x:v>QA commit 5995394ef27c; environment per execution log</x:v>
      </x:c>
      <x:c r="L65" s="18" t="str">
        <x:v>Backend unit/DI; synthetic local data; no real payment</x:v>
      </x:c>
      <x:c r="M65" s="18" t="str">
        <x:v>dotnet test PaymentService test project; inspect named xUnit case + summary 80/80.</x:v>
      </x:c>
      <x:c r="N65" s="18" t="str">
        <x:v>xUnit assertion recorded in source; independent acceptance oracle NOT reviewed. Expected runner result: test Pass; not proof of live business behavior.</x:v>
      </x:c>
      <x:c r="O65" s="18" t="str">
        <x:v>PASS từ dotnet test; 80 tests tổng cộng; 0 fail, 0 skip</x:v>
      </x:c>
      <x:c r="P65" s="18" t="str">
        <x:v>QA console / PowerShell step 5 / 20261027-065343</x:v>
      </x:c>
      <x:c r="Q65" s="18" t="str">
        <x:v>Pass</x:v>
      </x:c>
      <x:c r="R65" s="18"/>
      <x:c r="S65" s="18"/>
      <x:c r="T65" s="18"/>
      <x:c r="U65" s="18"/>
      <x:c r="V65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66" ht="56" customHeight="1">
      <x:c r="A66" s="18" t="str">
        <x:v>UNIT-065</x:v>
      </x:c>
      <x:c r="B66" s="18" t="str">
        <x:v>Domain.ParkingPricingCalculatorTests.TC_PRICE_09_RoundingMode_HALF_UP_THOUSAND(unrounded: 2500, expected: 3000)</x:v>
      </x:c>
      <x:c r="C66" s="18" t="str">
        <x:v>Chưa ánh xạ FR chính thức; source PR #14</x:v>
      </x:c>
      <x:c r="D66" s="18" t="str">
        <x:v>N/A — yêu cầu BR chưa được đối chiếu</x:v>
      </x:c>
      <x:c r="E66" s="18" t="str">
        <x:v>Chưa đối chiếu US</x:v>
      </x:c>
      <x:c r="F66" s="18" t="str">
        <x:v>Chưa đối chiếu UC</x:v>
      </x:c>
      <x:c r="G66" s="18" t="str">
        <x:v>N/A — .NET unit test (internal class/method)</x:v>
      </x:c>
      <x:c r="H66" s="18" t="str">
        <x:v>SPARK-229 (pricing regression; verify issue mapping)</x:v>
      </x:c>
      <x:c r="I66" s="18" t="str">
        <x:v>Unit / automated xUnit (dev tests; QA rerun)</x:v>
      </x:c>
      <x:c r="J66" s="18" t="str">
        <x:v>Medium</x:v>
      </x:c>
      <x:c r="K66" s="18" t="str">
        <x:v>QA commit 5995394ef27c; environment per execution log</x:v>
      </x:c>
      <x:c r="L66" s="18" t="str">
        <x:v>Backend unit/DI; synthetic local data; no real payment</x:v>
      </x:c>
      <x:c r="M66" s="18" t="str">
        <x:v>dotnet test PaymentService test project; inspect named xUnit case + summary 80/80.</x:v>
      </x:c>
      <x:c r="N66" s="18" t="str">
        <x:v>xUnit assertion recorded in source; independent acceptance oracle NOT reviewed. Expected runner result: test Pass; not proof of live business behavior.</x:v>
      </x:c>
      <x:c r="O66" s="18" t="str">
        <x:v>PASS từ dotnet test; 80 tests tổng cộng; 0 fail, 0 skip</x:v>
      </x:c>
      <x:c r="P66" s="18" t="str">
        <x:v>QA console / PowerShell step 5 / 20261027-065343</x:v>
      </x:c>
      <x:c r="Q66" s="18" t="str">
        <x:v>Pass</x:v>
      </x:c>
      <x:c r="R66" s="18"/>
      <x:c r="S66" s="18"/>
      <x:c r="T66" s="18"/>
      <x:c r="U66" s="18"/>
      <x:c r="V66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67" ht="56" customHeight="1">
      <x:c r="A67" s="18" t="str">
        <x:v>UNIT-066</x:v>
      </x:c>
      <x:c r="B67" s="18" t="str">
        <x:v>Domain.ParkingPricingCalculatorTests.TC_PRICE_01_UnderGracePeriod_ShouldBeFree</x:v>
      </x:c>
      <x:c r="C67" s="18" t="str">
        <x:v>Chưa ánh xạ FR chính thức; source PR #14</x:v>
      </x:c>
      <x:c r="D67" s="18" t="str">
        <x:v>N/A — yêu cầu BR chưa được đối chiếu</x:v>
      </x:c>
      <x:c r="E67" s="18" t="str">
        <x:v>Chưa đối chiếu US</x:v>
      </x:c>
      <x:c r="F67" s="18" t="str">
        <x:v>Chưa đối chiếu UC</x:v>
      </x:c>
      <x:c r="G67" s="18" t="str">
        <x:v>N/A — .NET unit test (internal class/method)</x:v>
      </x:c>
      <x:c r="H67" s="18" t="str">
        <x:v>SPARK-229 (pricing regression; verify issue mapping)</x:v>
      </x:c>
      <x:c r="I67" s="18" t="str">
        <x:v>Unit / automated xUnit (dev tests; QA rerun)</x:v>
      </x:c>
      <x:c r="J67" s="18" t="str">
        <x:v>Medium</x:v>
      </x:c>
      <x:c r="K67" s="18" t="str">
        <x:v>QA commit 5995394ef27c; environment per execution log</x:v>
      </x:c>
      <x:c r="L67" s="18" t="str">
        <x:v>Backend unit/DI; synthetic local data; no real payment</x:v>
      </x:c>
      <x:c r="M67" s="18" t="str">
        <x:v>dotnet test PaymentService test project; inspect named xUnit case + summary 80/80.</x:v>
      </x:c>
      <x:c r="N67" s="18" t="str">
        <x:v>xUnit assertion recorded in source; independent acceptance oracle NOT reviewed. Expected runner result: test Pass; not proof of live business behavior.</x:v>
      </x:c>
      <x:c r="O67" s="18" t="str">
        <x:v>PASS từ dotnet test; 80 tests tổng cộng; 0 fail, 0 skip</x:v>
      </x:c>
      <x:c r="P67" s="18" t="str">
        <x:v>QA console / PowerShell step 5 / 20261027-065343</x:v>
      </x:c>
      <x:c r="Q67" s="18" t="str">
        <x:v>Pass</x:v>
      </x:c>
      <x:c r="R67" s="18"/>
      <x:c r="S67" s="18"/>
      <x:c r="T67" s="18"/>
      <x:c r="U67" s="18"/>
      <x:c r="V67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68" ht="56" customHeight="1">
      <x:c r="A68" s="18" t="str">
        <x:v>UNIT-067</x:v>
      </x:c>
      <x:c r="B68" s="18" t="str">
        <x:v>Application.CalculateParkingFeeQueryValidatorTests.Validate_UntrustedCallerProvidingPolicyOverride_FailsValidation</x:v>
      </x:c>
      <x:c r="C68" s="18" t="str">
        <x:v>Chưa ánh xạ FR chính thức; source PR #14</x:v>
      </x:c>
      <x:c r="D68" s="18" t="str">
        <x:v>N/A — yêu cầu BR chưa được đối chiếu</x:v>
      </x:c>
      <x:c r="E68" s="18" t="str">
        <x:v>US-D02 (parent story SPARK-247)</x:v>
      </x:c>
      <x:c r="F68" s="18" t="str">
        <x:v>Chưa đối chiếu UC</x:v>
      </x:c>
      <x:c r="G68" s="18" t="str">
        <x:v>N/A — .NET unit test (internal class/method)</x:v>
      </x:c>
      <x:c r="H68" s="18" t="str">
        <x:v>SPARK-229 (pricing regression; verify issue mapping)</x:v>
      </x:c>
      <x:c r="I68" s="18" t="str">
        <x:v>Unit / automated xUnit (dev tests; QA rerun)</x:v>
      </x:c>
      <x:c r="J68" s="18" t="str">
        <x:v>Medium</x:v>
      </x:c>
      <x:c r="K68" s="18" t="str">
        <x:v>QA commit 5995394ef27c; environment per execution log</x:v>
      </x:c>
      <x:c r="L68" s="18" t="str">
        <x:v>Backend unit/DI; synthetic local data; no real payment</x:v>
      </x:c>
      <x:c r="M68" s="18" t="str">
        <x:v>dotnet test PaymentService test project; inspect named xUnit case + summary 80/80.</x:v>
      </x:c>
      <x:c r="N68" s="18" t="str">
        <x:v>xUnit assertion recorded in source; independent acceptance oracle NOT reviewed. Expected runner result: test Pass; not proof of live business behavior.</x:v>
      </x:c>
      <x:c r="O68" s="18" t="str">
        <x:v>PASS từ dotnet test; 80 tests tổng cộng; 0 fail, 0 skip</x:v>
      </x:c>
      <x:c r="P68" s="18" t="str">
        <x:v>QA console / PowerShell step 5 / 20261027-065343</x:v>
      </x:c>
      <x:c r="Q68" s="18" t="str">
        <x:v>Pass</x:v>
      </x:c>
      <x:c r="R68" s="18"/>
      <x:c r="S68" s="18"/>
      <x:c r="T68" s="18"/>
      <x:c r="U68" s="18"/>
      <x:c r="V68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69" ht="56" customHeight="1">
      <x:c r="A69" s="18" t="str">
        <x:v>UNIT-068</x:v>
      </x:c>
      <x:c r="B69" s="18" t="str">
        <x:v>Application.CalculateParkingFeeQueryValidatorTests.Validate_TrustedCallerProvidingPolicyOverride_PassesValidation</x:v>
      </x:c>
      <x:c r="C69" s="18" t="str">
        <x:v>Chưa ánh xạ FR chính thức; source PR #14</x:v>
      </x:c>
      <x:c r="D69" s="18" t="str">
        <x:v>N/A — yêu cầu BR chưa được đối chiếu</x:v>
      </x:c>
      <x:c r="E69" s="18" t="str">
        <x:v>US-D02 (parent story SPARK-247)</x:v>
      </x:c>
      <x:c r="F69" s="18" t="str">
        <x:v>Chưa đối chiếu UC</x:v>
      </x:c>
      <x:c r="G69" s="18" t="str">
        <x:v>N/A — .NET unit test (internal class/method)</x:v>
      </x:c>
      <x:c r="H69" s="18" t="str">
        <x:v>SPARK-229 (pricing regression; verify issue mapping)</x:v>
      </x:c>
      <x:c r="I69" s="18" t="str">
        <x:v>Unit / automated xUnit (dev tests; QA rerun)</x:v>
      </x:c>
      <x:c r="J69" s="18" t="str">
        <x:v>Medium</x:v>
      </x:c>
      <x:c r="K69" s="18" t="str">
        <x:v>QA commit 5995394ef27c; environment per execution log</x:v>
      </x:c>
      <x:c r="L69" s="18" t="str">
        <x:v>Backend unit/DI; synthetic local data; no real payment</x:v>
      </x:c>
      <x:c r="M69" s="18" t="str">
        <x:v>dotnet test PaymentService test project; inspect named xUnit case + summary 80/80.</x:v>
      </x:c>
      <x:c r="N69" s="18" t="str">
        <x:v>xUnit assertion recorded in source; independent acceptance oracle NOT reviewed. Expected runner result: test Pass; not proof of live business behavior.</x:v>
      </x:c>
      <x:c r="O69" s="18" t="str">
        <x:v>PASS từ dotnet test; 80 tests tổng cộng; 0 fail, 0 skip</x:v>
      </x:c>
      <x:c r="P69" s="18" t="str">
        <x:v>QA console / PowerShell step 5 / 20261027-065343</x:v>
      </x:c>
      <x:c r="Q69" s="18" t="str">
        <x:v>Pass</x:v>
      </x:c>
      <x:c r="R69" s="18"/>
      <x:c r="S69" s="18"/>
      <x:c r="T69" s="18"/>
      <x:c r="U69" s="18"/>
      <x:c r="V69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70" ht="56" customHeight="1">
      <x:c r="A70" s="18" t="str">
        <x:v>UNIT-069</x:v>
      </x:c>
      <x:c r="B70" s="18" t="str">
        <x:v>Application.CalculateParkingFeeQueryValidatorTests.Validate_WithUnsupportedVehicleType_FailsValidation(vehicleType: "BICYCLE")</x:v>
      </x:c>
      <x:c r="C70" s="18" t="str">
        <x:v>Chưa ánh xạ FR chính thức; source PR #14</x:v>
      </x:c>
      <x:c r="D70" s="18" t="str">
        <x:v>N/A — yêu cầu BR chưa được đối chiếu</x:v>
      </x:c>
      <x:c r="E70" s="18" t="str">
        <x:v>US-D02 (parent story SPARK-247)</x:v>
      </x:c>
      <x:c r="F70" s="18" t="str">
        <x:v>Chưa đối chiếu UC</x:v>
      </x:c>
      <x:c r="G70" s="18" t="str">
        <x:v>N/A — .NET unit test (internal class/method)</x:v>
      </x:c>
      <x:c r="H70" s="18" t="str">
        <x:v>SPARK-229 (pricing regression; verify issue mapping)</x:v>
      </x:c>
      <x:c r="I70" s="18" t="str">
        <x:v>Unit / automated xUnit (dev tests; QA rerun)</x:v>
      </x:c>
      <x:c r="J70" s="18" t="str">
        <x:v>Medium</x:v>
      </x:c>
      <x:c r="K70" s="18" t="str">
        <x:v>QA commit 5995394ef27c; environment per execution log</x:v>
      </x:c>
      <x:c r="L70" s="18" t="str">
        <x:v>Backend unit/DI; synthetic local data; no real payment</x:v>
      </x:c>
      <x:c r="M70" s="18" t="str">
        <x:v>dotnet test PaymentService test project; inspect named xUnit case + summary 80/80.</x:v>
      </x:c>
      <x:c r="N70" s="18" t="str">
        <x:v>xUnit assertion recorded in source; independent acceptance oracle NOT reviewed. Expected runner result: test Pass; not proof of live business behavior.</x:v>
      </x:c>
      <x:c r="O70" s="18" t="str">
        <x:v>PASS từ dotnet test; 80 tests tổng cộng; 0 fail, 0 skip</x:v>
      </x:c>
      <x:c r="P70" s="18" t="str">
        <x:v>QA console / PowerShell step 5 / 20261027-065343</x:v>
      </x:c>
      <x:c r="Q70" s="18" t="str">
        <x:v>Pass</x:v>
      </x:c>
      <x:c r="R70" s="18"/>
      <x:c r="S70" s="18"/>
      <x:c r="T70" s="18"/>
      <x:c r="U70" s="18"/>
      <x:c r="V70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71" ht="56" customHeight="1">
      <x:c r="A71" s="18" t="str">
        <x:v>UNIT-070</x:v>
      </x:c>
      <x:c r="B71" s="18" t="str">
        <x:v>Application.CalculateParkingFeeQueryValidatorTests.Validate_WithUnsupportedVehicleType_FailsValidation(vehicleType: "OVERSIZED")</x:v>
      </x:c>
      <x:c r="C71" s="18" t="str">
        <x:v>Chưa ánh xạ FR chính thức; source PR #14</x:v>
      </x:c>
      <x:c r="D71" s="18" t="str">
        <x:v>N/A — yêu cầu BR chưa được đối chiếu</x:v>
      </x:c>
      <x:c r="E71" s="18" t="str">
        <x:v>US-D02 (parent story SPARK-247)</x:v>
      </x:c>
      <x:c r="F71" s="18" t="str">
        <x:v>Chưa đối chiếu UC</x:v>
      </x:c>
      <x:c r="G71" s="18" t="str">
        <x:v>N/A — .NET unit test (internal class/method)</x:v>
      </x:c>
      <x:c r="H71" s="18" t="str">
        <x:v>SPARK-229 (pricing regression; verify issue mapping)</x:v>
      </x:c>
      <x:c r="I71" s="18" t="str">
        <x:v>Unit / automated xUnit (dev tests; QA rerun)</x:v>
      </x:c>
      <x:c r="J71" s="18" t="str">
        <x:v>Medium</x:v>
      </x:c>
      <x:c r="K71" s="18" t="str">
        <x:v>QA commit 5995394ef27c; environment per execution log</x:v>
      </x:c>
      <x:c r="L71" s="18" t="str">
        <x:v>Backend unit/DI; synthetic local data; no real payment</x:v>
      </x:c>
      <x:c r="M71" s="18" t="str">
        <x:v>dotnet test PaymentService test project; inspect named xUnit case + summary 80/80.</x:v>
      </x:c>
      <x:c r="N71" s="18" t="str">
        <x:v>xUnit assertion recorded in source; independent acceptance oracle NOT reviewed. Expected runner result: test Pass; not proof of live business behavior.</x:v>
      </x:c>
      <x:c r="O71" s="18" t="str">
        <x:v>PASS từ dotnet test; 80 tests tổng cộng; 0 fail, 0 skip</x:v>
      </x:c>
      <x:c r="P71" s="18" t="str">
        <x:v>QA console / PowerShell step 5 / 20261027-065343</x:v>
      </x:c>
      <x:c r="Q71" s="18" t="str">
        <x:v>Pass</x:v>
      </x:c>
      <x:c r="R71" s="18"/>
      <x:c r="S71" s="18"/>
      <x:c r="T71" s="18"/>
      <x:c r="U71" s="18"/>
      <x:c r="V71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72" ht="56" customHeight="1">
      <x:c r="A72" s="18" t="str">
        <x:v>UNIT-071</x:v>
      </x:c>
      <x:c r="B72" s="18" t="str">
        <x:v>Application.CalculateParkingFeeQueryValidatorTests.Validate_WithUnsupportedVehicleType_FailsValidation(vehicleType: "BUS")</x:v>
      </x:c>
      <x:c r="C72" s="18" t="str">
        <x:v>Chưa ánh xạ FR chính thức; source PR #14</x:v>
      </x:c>
      <x:c r="D72" s="18" t="str">
        <x:v>N/A — yêu cầu BR chưa được đối chiếu</x:v>
      </x:c>
      <x:c r="E72" s="18" t="str">
        <x:v>US-D02 (parent story SPARK-247)</x:v>
      </x:c>
      <x:c r="F72" s="18" t="str">
        <x:v>Chưa đối chiếu UC</x:v>
      </x:c>
      <x:c r="G72" s="18" t="str">
        <x:v>N/A — .NET unit test (internal class/method)</x:v>
      </x:c>
      <x:c r="H72" s="18" t="str">
        <x:v>SPARK-229 (pricing regression; verify issue mapping)</x:v>
      </x:c>
      <x:c r="I72" s="18" t="str">
        <x:v>Unit / automated xUnit (dev tests; QA rerun)</x:v>
      </x:c>
      <x:c r="J72" s="18" t="str">
        <x:v>Medium</x:v>
      </x:c>
      <x:c r="K72" s="18" t="str">
        <x:v>QA commit 5995394ef27c; environment per execution log</x:v>
      </x:c>
      <x:c r="L72" s="18" t="str">
        <x:v>Backend unit/DI; synthetic local data; no real payment</x:v>
      </x:c>
      <x:c r="M72" s="18" t="str">
        <x:v>dotnet test PaymentService test project; inspect named xUnit case + summary 80/80.</x:v>
      </x:c>
      <x:c r="N72" s="18" t="str">
        <x:v>xUnit assertion recorded in source; independent acceptance oracle NOT reviewed. Expected runner result: test Pass; not proof of live business behavior.</x:v>
      </x:c>
      <x:c r="O72" s="18" t="str">
        <x:v>PASS từ dotnet test; 80 tests tổng cộng; 0 fail, 0 skip</x:v>
      </x:c>
      <x:c r="P72" s="18" t="str">
        <x:v>QA console / PowerShell step 5 / 20261027-065343</x:v>
      </x:c>
      <x:c r="Q72" s="18" t="str">
        <x:v>Pass</x:v>
      </x:c>
      <x:c r="R72" s="18"/>
      <x:c r="S72" s="18"/>
      <x:c r="T72" s="18"/>
      <x:c r="U72" s="18"/>
      <x:c r="V72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73" ht="56" customHeight="1">
      <x:c r="A73" s="18" t="str">
        <x:v>UNIT-072</x:v>
      </x:c>
      <x:c r="B73" s="18" t="str">
        <x:v>Application.CalculateParkingFeeQueryValidatorTests.Validate_WithUnsupportedVehicleType_FailsValidation(vehicleType: "TRUCK")</x:v>
      </x:c>
      <x:c r="C73" s="18" t="str">
        <x:v>Chưa ánh xạ FR chính thức; source PR #14</x:v>
      </x:c>
      <x:c r="D73" s="18" t="str">
        <x:v>N/A — yêu cầu BR chưa được đối chiếu</x:v>
      </x:c>
      <x:c r="E73" s="18" t="str">
        <x:v>US-D02 (parent story SPARK-247)</x:v>
      </x:c>
      <x:c r="F73" s="18" t="str">
        <x:v>Chưa đối chiếu UC</x:v>
      </x:c>
      <x:c r="G73" s="18" t="str">
        <x:v>N/A — .NET unit test (internal class/method)</x:v>
      </x:c>
      <x:c r="H73" s="18" t="str">
        <x:v>SPARK-229 (pricing regression; verify issue mapping)</x:v>
      </x:c>
      <x:c r="I73" s="18" t="str">
        <x:v>Unit / automated xUnit (dev tests; QA rerun)</x:v>
      </x:c>
      <x:c r="J73" s="18" t="str">
        <x:v>Medium</x:v>
      </x:c>
      <x:c r="K73" s="18" t="str">
        <x:v>QA commit 5995394ef27c; environment per execution log</x:v>
      </x:c>
      <x:c r="L73" s="18" t="str">
        <x:v>Backend unit/DI; synthetic local data; no real payment</x:v>
      </x:c>
      <x:c r="M73" s="18" t="str">
        <x:v>dotnet test PaymentService test project; inspect named xUnit case + summary 80/80.</x:v>
      </x:c>
      <x:c r="N73" s="18" t="str">
        <x:v>xUnit assertion recorded in source; independent acceptance oracle NOT reviewed. Expected runner result: test Pass; not proof of live business behavior.</x:v>
      </x:c>
      <x:c r="O73" s="18" t="str">
        <x:v>PASS từ dotnet test; 80 tests tổng cộng; 0 fail, 0 skip</x:v>
      </x:c>
      <x:c r="P73" s="18" t="str">
        <x:v>QA console / PowerShell step 5 / 20261027-065343</x:v>
      </x:c>
      <x:c r="Q73" s="18" t="str">
        <x:v>Pass</x:v>
      </x:c>
      <x:c r="R73" s="18"/>
      <x:c r="S73" s="18"/>
      <x:c r="T73" s="18"/>
      <x:c r="U73" s="18"/>
      <x:c r="V73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74" ht="56" customHeight="1">
      <x:c r="A74" s="18" t="str">
        <x:v>UNIT-073</x:v>
      </x:c>
      <x:c r="B74" s="18" t="str">
        <x:v>Application.CalculateParkingFeeQueryValidatorTests.Validate_WithExitTimeBeforeEntryTime_FailsValidation</x:v>
      </x:c>
      <x:c r="C74" s="18" t="str">
        <x:v>Chưa ánh xạ FR chính thức; source PR #14</x:v>
      </x:c>
      <x:c r="D74" s="18" t="str">
        <x:v>N/A — yêu cầu BR chưa được đối chiếu</x:v>
      </x:c>
      <x:c r="E74" s="18" t="str">
        <x:v>US-D02 (parent story SPARK-247)</x:v>
      </x:c>
      <x:c r="F74" s="18" t="str">
        <x:v>Chưa đối chiếu UC</x:v>
      </x:c>
      <x:c r="G74" s="18" t="str">
        <x:v>N/A — .NET unit test (internal class/method)</x:v>
      </x:c>
      <x:c r="H74" s="18" t="str">
        <x:v>SPARK-229 (pricing regression; verify issue mapping)</x:v>
      </x:c>
      <x:c r="I74" s="18" t="str">
        <x:v>Unit / automated xUnit (dev tests; QA rerun)</x:v>
      </x:c>
      <x:c r="J74" s="18" t="str">
        <x:v>Medium</x:v>
      </x:c>
      <x:c r="K74" s="18" t="str">
        <x:v>QA commit 5995394ef27c; environment per execution log</x:v>
      </x:c>
      <x:c r="L74" s="18" t="str">
        <x:v>Backend unit/DI; synthetic local data; no real payment</x:v>
      </x:c>
      <x:c r="M74" s="18" t="str">
        <x:v>dotnet test PaymentService test project; inspect named xUnit case + summary 80/80.</x:v>
      </x:c>
      <x:c r="N74" s="18" t="str">
        <x:v>xUnit assertion recorded in source; independent acceptance oracle NOT reviewed. Expected runner result: test Pass; not proof of live business behavior.</x:v>
      </x:c>
      <x:c r="O74" s="18" t="str">
        <x:v>PASS từ dotnet test; 80 tests tổng cộng; 0 fail, 0 skip</x:v>
      </x:c>
      <x:c r="P74" s="18" t="str">
        <x:v>QA console / PowerShell step 5 / 20261027-065343</x:v>
      </x:c>
      <x:c r="Q74" s="18" t="str">
        <x:v>Pass</x:v>
      </x:c>
      <x:c r="R74" s="18"/>
      <x:c r="S74" s="18"/>
      <x:c r="T74" s="18"/>
      <x:c r="U74" s="18"/>
      <x:c r="V74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75" ht="56" customHeight="1">
      <x:c r="A75" s="18" t="str">
        <x:v>UNIT-074</x:v>
      </x:c>
      <x:c r="B75" s="18" t="str">
        <x:v>Application.CalculateParkingFeeQueryValidatorTests.Validate_WithValidMotorcycleRequest_PassesValidation</x:v>
      </x:c>
      <x:c r="C75" s="18" t="str">
        <x:v>Chưa ánh xạ FR chính thức; source PR #14</x:v>
      </x:c>
      <x:c r="D75" s="18" t="str">
        <x:v>N/A — yêu cầu BR chưa được đối chiếu</x:v>
      </x:c>
      <x:c r="E75" s="18" t="str">
        <x:v>US-D02 (parent story SPARK-247)</x:v>
      </x:c>
      <x:c r="F75" s="18" t="str">
        <x:v>Chưa đối chiếu UC</x:v>
      </x:c>
      <x:c r="G75" s="18" t="str">
        <x:v>N/A — .NET unit test (internal class/method)</x:v>
      </x:c>
      <x:c r="H75" s="18" t="str">
        <x:v>SPARK-229 (pricing regression; verify issue mapping)</x:v>
      </x:c>
      <x:c r="I75" s="18" t="str">
        <x:v>Unit / automated xUnit (dev tests; QA rerun)</x:v>
      </x:c>
      <x:c r="J75" s="18" t="str">
        <x:v>Medium</x:v>
      </x:c>
      <x:c r="K75" s="18" t="str">
        <x:v>QA commit 5995394ef27c; environment per execution log</x:v>
      </x:c>
      <x:c r="L75" s="18" t="str">
        <x:v>Backend unit/DI; synthetic local data; no real payment</x:v>
      </x:c>
      <x:c r="M75" s="18" t="str">
        <x:v>dotnet test PaymentService test project; inspect named xUnit case + summary 80/80.</x:v>
      </x:c>
      <x:c r="N75" s="18" t="str">
        <x:v>xUnit assertion recorded in source; independent acceptance oracle NOT reviewed. Expected runner result: test Pass; not proof of live business behavior.</x:v>
      </x:c>
      <x:c r="O75" s="18" t="str">
        <x:v>PASS từ dotnet test; 80 tests tổng cộng; 0 fail, 0 skip</x:v>
      </x:c>
      <x:c r="P75" s="18" t="str">
        <x:v>QA console / PowerShell step 5 / 20261027-065343</x:v>
      </x:c>
      <x:c r="Q75" s="18" t="str">
        <x:v>Pass</x:v>
      </x:c>
      <x:c r="R75" s="18"/>
      <x:c r="S75" s="18"/>
      <x:c r="T75" s="18"/>
      <x:c r="U75" s="18"/>
      <x:c r="V75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76" ht="56" customHeight="1">
      <x:c r="A76" s="18" t="str">
        <x:v>UNIT-075</x:v>
      </x:c>
      <x:c r="B76" s="18" t="str">
        <x:v>Application.CalculateParkingFeeQueryValidatorTests.Validate_WithValidCarRequest_PassesValidation</x:v>
      </x:c>
      <x:c r="C76" s="18" t="str">
        <x:v>Chưa ánh xạ FR chính thức; source PR #14</x:v>
      </x:c>
      <x:c r="D76" s="18" t="str">
        <x:v>N/A — yêu cầu BR chưa được đối chiếu</x:v>
      </x:c>
      <x:c r="E76" s="18" t="str">
        <x:v>US-D02 (parent story SPARK-247)</x:v>
      </x:c>
      <x:c r="F76" s="18" t="str">
        <x:v>Chưa đối chiếu UC</x:v>
      </x:c>
      <x:c r="G76" s="18" t="str">
        <x:v>N/A — .NET unit test (internal class/method)</x:v>
      </x:c>
      <x:c r="H76" s="18" t="str">
        <x:v>SPARK-229 (pricing regression; verify issue mapping)</x:v>
      </x:c>
      <x:c r="I76" s="18" t="str">
        <x:v>Unit / automated xUnit (dev tests; QA rerun)</x:v>
      </x:c>
      <x:c r="J76" s="18" t="str">
        <x:v>Medium</x:v>
      </x:c>
      <x:c r="K76" s="18" t="str">
        <x:v>QA commit 5995394ef27c; environment per execution log</x:v>
      </x:c>
      <x:c r="L76" s="18" t="str">
        <x:v>Backend unit/DI; synthetic local data; no real payment</x:v>
      </x:c>
      <x:c r="M76" s="18" t="str">
        <x:v>dotnet test PaymentService test project; inspect named xUnit case + summary 80/80.</x:v>
      </x:c>
      <x:c r="N76" s="18" t="str">
        <x:v>xUnit assertion recorded in source; independent acceptance oracle NOT reviewed. Expected runner result: test Pass; not proof of live business behavior.</x:v>
      </x:c>
      <x:c r="O76" s="18" t="str">
        <x:v>PASS từ dotnet test; 80 tests tổng cộng; 0 fail, 0 skip</x:v>
      </x:c>
      <x:c r="P76" s="18" t="str">
        <x:v>QA console / PowerShell step 5 / 20261027-065343</x:v>
      </x:c>
      <x:c r="Q76" s="18" t="str">
        <x:v>Pass</x:v>
      </x:c>
      <x:c r="R76" s="18"/>
      <x:c r="S76" s="18"/>
      <x:c r="T76" s="18"/>
      <x:c r="U76" s="18"/>
      <x:c r="V76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77" ht="56" customHeight="1">
      <x:c r="A77" s="18" t="str">
        <x:v>UNIT-076</x:v>
      </x:c>
      <x:c r="B77" s="18" t="str">
        <x:v>Integration.DependencyInjectionTests.ServiceProvider_ShouldResolveAllRequiredDependencies_WithoutExceptions</x:v>
      </x:c>
      <x:c r="C77" s="18" t="str">
        <x:v>Chưa ánh xạ FR chính thức; source PR #14</x:v>
      </x:c>
      <x:c r="D77" s="18" t="str">
        <x:v>N/A — yêu cầu BR chưa được đối chiếu</x:v>
      </x:c>
      <x:c r="E77" s="18" t="str">
        <x:v>US-D02 (parent story SPARK-247)</x:v>
      </x:c>
      <x:c r="F77" s="18" t="str">
        <x:v>Chưa đối chiếu UC</x:v>
      </x:c>
      <x:c r="G77" s="18" t="str">
        <x:v>N/A — .NET unit test (internal class/method)</x:v>
      </x:c>
      <x:c r="H77" s="18" t="str">
        <x:v>SPARK-250</x:v>
      </x:c>
      <x:c r="I77" s="18" t="str">
        <x:v>Unit / automated xUnit (dev tests; QA rerun)</x:v>
      </x:c>
      <x:c r="J77" s="18" t="str">
        <x:v>Medium</x:v>
      </x:c>
      <x:c r="K77" s="18" t="str">
        <x:v>QA commit 5995394ef27c; environment per execution log</x:v>
      </x:c>
      <x:c r="L77" s="18" t="str">
        <x:v>Backend unit/DI; synthetic local data; no real payment</x:v>
      </x:c>
      <x:c r="M77" s="18" t="str">
        <x:v>dotnet test PaymentService test project; inspect named xUnit case + summary 80/80.</x:v>
      </x:c>
      <x:c r="N77" s="18" t="str">
        <x:v>xUnit assertion recorded in source; independent acceptance oracle NOT reviewed. Expected runner result: test Pass; not proof of live business behavior.</x:v>
      </x:c>
      <x:c r="O77" s="18" t="str">
        <x:v>PASS từ dotnet test; 80 tests tổng cộng; 0 fail, 0 skip</x:v>
      </x:c>
      <x:c r="P77" s="18" t="str">
        <x:v>QA console / PowerShell step 5 / 20261027-065343</x:v>
      </x:c>
      <x:c r="Q77" s="18" t="str">
        <x:v>Pass</x:v>
      </x:c>
      <x:c r="R77" s="18"/>
      <x:c r="S77" s="18"/>
      <x:c r="T77" s="18"/>
      <x:c r="U77" s="18"/>
      <x:c r="V77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78" ht="56" customHeight="1">
      <x:c r="A78" s="18" t="str">
        <x:v>UNIT-077</x:v>
      </x:c>
      <x:c r="B78" s="18" t="str">
        <x:v>Persistence.TariffPersistenceAdapterTests.GetActivePolicyAsync_WhenTariffIsInactive_ReturnsNull</x:v>
      </x:c>
      <x:c r="C78" s="18" t="str">
        <x:v>Chưa ánh xạ FR chính thức; source PR #14</x:v>
      </x:c>
      <x:c r="D78" s="18" t="str">
        <x:v>N/A — yêu cầu BR chưa được đối chiếu</x:v>
      </x:c>
      <x:c r="E78" s="18" t="str">
        <x:v>US-D02 (parent story SPARK-247)</x:v>
      </x:c>
      <x:c r="F78" s="18" t="str">
        <x:v>Chưa đối chiếu UC</x:v>
      </x:c>
      <x:c r="G78" s="18" t="str">
        <x:v>N/A — .NET unit test (internal class/method)</x:v>
      </x:c>
      <x:c r="H78" s="18" t="str">
        <x:v>SPARK-229 (pricing regression; verify issue mapping)</x:v>
      </x:c>
      <x:c r="I78" s="18" t="str">
        <x:v>Unit / automated xUnit (dev tests; QA rerun)</x:v>
      </x:c>
      <x:c r="J78" s="18" t="str">
        <x:v>Medium</x:v>
      </x:c>
      <x:c r="K78" s="18" t="str">
        <x:v>QA commit 5995394ef27c; environment per execution log</x:v>
      </x:c>
      <x:c r="L78" s="18" t="str">
        <x:v>Backend unit/DI; synthetic local data; no real payment</x:v>
      </x:c>
      <x:c r="M78" s="18" t="str">
        <x:v>dotnet test PaymentService test project; inspect named xUnit case + summary 80/80.</x:v>
      </x:c>
      <x:c r="N78" s="18" t="str">
        <x:v>xUnit assertion recorded in source; independent acceptance oracle NOT reviewed. Expected runner result: test Pass; not proof of live business behavior.</x:v>
      </x:c>
      <x:c r="O78" s="18" t="str">
        <x:v>PASS từ dotnet test; 80 tests tổng cộng; 0 fail, 0 skip</x:v>
      </x:c>
      <x:c r="P78" s="18" t="str">
        <x:v>QA console / PowerShell step 5 / 20261027-065343</x:v>
      </x:c>
      <x:c r="Q78" s="18" t="str">
        <x:v>Pass</x:v>
      </x:c>
      <x:c r="R78" s="18"/>
      <x:c r="S78" s="18"/>
      <x:c r="T78" s="18"/>
      <x:c r="U78" s="18"/>
      <x:c r="V78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79" ht="56" customHeight="1">
      <x:c r="A79" s="18" t="str">
        <x:v>UNIT-078</x:v>
      </x:c>
      <x:c r="B79" s="18" t="str">
        <x:v>Persistence.TariffPersistenceAdapterTests.GetActivePolicyAsync_WhenTariffExists_ReturnsMappedPricingPolicySnapshot</x:v>
      </x:c>
      <x:c r="C79" s="18" t="str">
        <x:v>Chưa ánh xạ FR chính thức; source PR #14</x:v>
      </x:c>
      <x:c r="D79" s="18" t="str">
        <x:v>N/A — yêu cầu BR chưa được đối chiếu</x:v>
      </x:c>
      <x:c r="E79" s="18" t="str">
        <x:v>Chưa đối chiếu US</x:v>
      </x:c>
      <x:c r="F79" s="18" t="str">
        <x:v>Chưa đối chiếu UC</x:v>
      </x:c>
      <x:c r="G79" s="18" t="str">
        <x:v>N/A — .NET unit test (internal class/method)</x:v>
      </x:c>
      <x:c r="H79" s="18" t="str">
        <x:v>SPARK-229 (pricing regression; verify issue mapping)</x:v>
      </x:c>
      <x:c r="I79" s="18" t="str">
        <x:v>Unit / automated xUnit (dev tests; QA rerun)</x:v>
      </x:c>
      <x:c r="J79" s="18" t="str">
        <x:v>Medium</x:v>
      </x:c>
      <x:c r="K79" s="18" t="str">
        <x:v>QA commit 5995394ef27c; environment per execution log</x:v>
      </x:c>
      <x:c r="L79" s="18" t="str">
        <x:v>Backend unit/DI; synthetic local data; no real payment</x:v>
      </x:c>
      <x:c r="M79" s="18" t="str">
        <x:v>dotnet test PaymentService test project; inspect named xUnit case + summary 80/80.</x:v>
      </x:c>
      <x:c r="N79" s="18" t="str">
        <x:v>xUnit assertion recorded in source; independent acceptance oracle NOT reviewed. Expected runner result: test Pass; not proof of live business behavior.</x:v>
      </x:c>
      <x:c r="O79" s="18" t="str">
        <x:v>PASS từ dotnet test; 80 tests tổng cộng; 0 fail, 0 skip</x:v>
      </x:c>
      <x:c r="P79" s="18" t="str">
        <x:v>QA console / PowerShell step 5 / 20261027-065343</x:v>
      </x:c>
      <x:c r="Q79" s="18" t="str">
        <x:v>Pass</x:v>
      </x:c>
      <x:c r="R79" s="18"/>
      <x:c r="S79" s="18"/>
      <x:c r="T79" s="18"/>
      <x:c r="U79" s="18"/>
      <x:c r="V79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80" ht="56" customHeight="1">
      <x:c r="A80" s="18" t="str">
        <x:v>UNIT-079</x:v>
      </x:c>
      <x:c r="B80" s="18" t="str">
        <x:v>Persistence.TariffPersistenceAdapterTests.GetActivePolicyAsync_WhenNoTariffExists_ReturnsNull</x:v>
      </x:c>
      <x:c r="C80" s="18" t="str">
        <x:v>Chưa ánh xạ FR chính thức; source PR #14</x:v>
      </x:c>
      <x:c r="D80" s="18" t="str">
        <x:v>N/A — yêu cầu BR chưa được đối chiếu</x:v>
      </x:c>
      <x:c r="E80" s="18" t="str">
        <x:v>US-D02 (parent story SPARK-247)</x:v>
      </x:c>
      <x:c r="F80" s="18" t="str">
        <x:v>Chưa đối chiếu UC</x:v>
      </x:c>
      <x:c r="G80" s="18" t="str">
        <x:v>N/A — .NET unit test (internal class/method)</x:v>
      </x:c>
      <x:c r="H80" s="18" t="str">
        <x:v>SPARK-229 (pricing regression; verify issue mapping)</x:v>
      </x:c>
      <x:c r="I80" s="18" t="str">
        <x:v>Unit / automated xUnit (dev tests; QA rerun)</x:v>
      </x:c>
      <x:c r="J80" s="18" t="str">
        <x:v>Medium</x:v>
      </x:c>
      <x:c r="K80" s="18" t="str">
        <x:v>QA commit 5995394ef27c; environment per execution log</x:v>
      </x:c>
      <x:c r="L80" s="18" t="str">
        <x:v>Backend unit/DI; synthetic local data; no real payment</x:v>
      </x:c>
      <x:c r="M80" s="18" t="str">
        <x:v>dotnet test PaymentService test project; inspect named xUnit case + summary 80/80.</x:v>
      </x:c>
      <x:c r="N80" s="18" t="str">
        <x:v>xUnit assertion recorded in source; independent acceptance oracle NOT reviewed. Expected runner result: test Pass; not proof of live business behavior.</x:v>
      </x:c>
      <x:c r="O80" s="18" t="str">
        <x:v>PASS từ dotnet test; 80 tests tổng cộng; 0 fail, 0 skip</x:v>
      </x:c>
      <x:c r="P80" s="18" t="str">
        <x:v>QA console / PowerShell step 5 / 20261027-065343</x:v>
      </x:c>
      <x:c r="Q80" s="18" t="str">
        <x:v>Pass</x:v>
      </x:c>
      <x:c r="R80" s="18"/>
      <x:c r="S80" s="18"/>
      <x:c r="T80" s="18"/>
      <x:c r="U80" s="18"/>
      <x:c r="V80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81" ht="56" customHeight="1">
      <x:c r="A81" s="18" t="str">
        <x:v>UNIT-080</x:v>
      </x:c>
      <x:c r="B81" s="18" t="str">
        <x:v>Persistence.TariffPersistenceAdapterTests.GetActivePolicyAsync_WhenTariffIsSoftDeleted_ReturnsNull</x:v>
      </x:c>
      <x:c r="C81" s="18" t="str">
        <x:v>Chưa ánh xạ FR chính thức; source PR #14</x:v>
      </x:c>
      <x:c r="D81" s="18" t="str">
        <x:v>N/A — yêu cầu BR chưa được đối chiếu</x:v>
      </x:c>
      <x:c r="E81" s="18" t="str">
        <x:v>US-D02 (parent story SPARK-247)</x:v>
      </x:c>
      <x:c r="F81" s="18" t="str">
        <x:v>Chưa đối chiếu UC</x:v>
      </x:c>
      <x:c r="G81" s="18" t="str">
        <x:v>N/A — .NET unit test (internal class/method)</x:v>
      </x:c>
      <x:c r="H81" s="18" t="str">
        <x:v>SPARK-229 (pricing regression; verify issue mapping)</x:v>
      </x:c>
      <x:c r="I81" s="18" t="str">
        <x:v>Unit / automated xUnit (dev tests; QA rerun)</x:v>
      </x:c>
      <x:c r="J81" s="18" t="str">
        <x:v>Medium</x:v>
      </x:c>
      <x:c r="K81" s="18" t="str">
        <x:v>QA commit 5995394ef27c; environment per execution log</x:v>
      </x:c>
      <x:c r="L81" s="18" t="str">
        <x:v>Backend unit/DI; synthetic local data; no real payment</x:v>
      </x:c>
      <x:c r="M81" s="18" t="str">
        <x:v>dotnet test PaymentService test project; inspect named xUnit case + summary 80/80.</x:v>
      </x:c>
      <x:c r="N81" s="18" t="str">
        <x:v>xUnit assertion recorded in source; independent acceptance oracle NOT reviewed. Expected runner result: test Pass; not proof of live business behavior.</x:v>
      </x:c>
      <x:c r="O81" s="18" t="str">
        <x:v>PASS từ dotnet test; 80 tests tổng cộng; 0 fail, 0 skip</x:v>
      </x:c>
      <x:c r="P81" s="18" t="str">
        <x:v>QA console / PowerShell step 5 / 20261027-065343</x:v>
      </x:c>
      <x:c r="Q81" s="18" t="str">
        <x:v>Pass</x:v>
      </x:c>
      <x:c r="R81" s="18"/>
      <x:c r="S81" s="18"/>
      <x:c r="T81" s="18"/>
      <x:c r="U81" s="18"/>
      <x:c r="V81" s="18" t="str">
        <x:v>QA at merge 5995394ef27c; approval pending; Không đại diện cho môi trường PostgreSQL/payOS production. Developer-authored unit test independently executed by QA; unit assertions not independently audited.</x:v>
      </x:c>
    </x:row>
    <x:row r="82" ht="56" customHeight="1">
      <x:c r="A82" s="18" t="str">
        <x:v>HTTP-01</x:v>
      </x:c>
      <x:c r="B82" s="18" t="str">
        <x:v>OpenAPI Development</x:v>
      </x:c>
      <x:c r="C82" s="18" t="str">
        <x:v>Chưa ánh xạ FR chính thức; source PR #14</x:v>
      </x:c>
      <x:c r="D82" s="18" t="str">
        <x:v>N/A — yêu cầu BR chưa được đối chiếu</x:v>
      </x:c>
      <x:c r="E82" s="18" t="str">
        <x:v>US-D02 (parent story SPARK-247)</x:v>
      </x:c>
      <x:c r="F82" s="18" t="str">
        <x:v>Chưa đối chiếu UC</x:v>
      </x:c>
      <x:c r="G82" s="18" t="str">
        <x:v>GET /openapi/v1.json</x:v>
      </x:c>
      <x:c r="H82" s="18" t="str">
        <x:v>SPARK-250</x:v>
      </x:c>
      <x:c r="I82" s="18" t="str">
        <x:v>API / HTTP negative or smoke</x:v>
      </x:c>
      <x:c r="J82" s="18" t="str">
        <x:v>Medium</x:v>
      </x:c>
      <x:c r="K82" s="18" t="str">
        <x:v>QA commit 5995394ef27c; environment per execution log</x:v>
      </x:c>
      <x:c r="L82" s="18" t="str">
        <x:v>Local development/mock; synthetic local data; no real payment</x:v>
      </x:c>
      <x:c r="M82" s="18" t="str">
        <x:v>1. Read contract/source and preflight QA fixture. 2. Run HTTP-01. 3. Compare HTTP/state and DB read-back when applicable.</x:v>
      </x:c>
      <x:c r="N82" s="18" t="str">
        <x:v>GET /openapi/v1.json → 200</x:v>
      </x:c>
      <x:c r="O82" s="18" t="str">
        <x:v>HTTP 200 sau retest curl + PowerShell</x:v>
      </x:c>
      <x:c r="P82" s="18" t="str">
        <x:v>QA console / Step 8 / 20261027-070837</x:v>
      </x:c>
      <x:c r="Q82" s="18" t="str">
        <x:v>Pass</x:v>
      </x:c>
      <x:c r="R82" s="18"/>
      <x:c r="S82" s="18"/>
      <x:c r="T82" s="18"/>
      <x:c r="U82" s="18"/>
      <x:c r="V82" s="18" t="str">
        <x:v>QA at merge 5995394ef27c; approval pending; Lần đầu gặp ProtocolViolationException của client.</x:v>
      </x:c>
    </x:row>
    <x:row r="83" ht="56" customHeight="1">
      <x:c r="A83" s="18" t="str">
        <x:v>HTTP-02</x:v>
      </x:c>
      <x:c r="B83" s="18" t="str">
        <x:v>Checkout chưa xác thực</x:v>
      </x:c>
      <x:c r="C83" s="18" t="str">
        <x:v>Chưa ánh xạ FR chính thức; source PR #14</x:v>
      </x:c>
      <x:c r="D83" s="18" t="str">
        <x:v>N/A — yêu cầu BR chưa được đối chiếu</x:v>
      </x:c>
      <x:c r="E83" s="18" t="str">
        <x:v>US-D02 (parent story SPARK-247)</x:v>
      </x:c>
      <x:c r="F83" s="18" t="str">
        <x:v>Chưa đối chiếu UC</x:v>
      </x:c>
      <x:c r="G83" s="18" t="str">
        <x:v>POST /api/v1/payments/orders/{orderId}/checkout</x:v>
      </x:c>
      <x:c r="H83" s="18" t="str">
        <x:v>SPARK-250</x:v>
      </x:c>
      <x:c r="I83" s="18" t="str">
        <x:v>API / HTTP negative or smoke</x:v>
      </x:c>
      <x:c r="J83" s="18" t="str">
        <x:v>Medium</x:v>
      </x:c>
      <x:c r="K83" s="18" t="str">
        <x:v>QA commit 5995394ef27c; environment per execution log</x:v>
      </x:c>
      <x:c r="L83" s="18" t="str">
        <x:v>Local development/mock; synthetic local data; no real payment</x:v>
      </x:c>
      <x:c r="M83" s="18" t="str">
        <x:v>1. Read contract/source and preflight QA fixture. 2. Run HTTP-02. 3. Compare HTTP/state and DB read-back when applicable.</x:v>
      </x:c>
      <x:c r="N83" s="18" t="str">
        <x:v>POST checkout không token → 401</x:v>
      </x:c>
      <x:c r="O83" s="18" t="str">
        <x:v>HTTP 401</x:v>
      </x:c>
      <x:c r="P83" s="18" t="str">
        <x:v>QA console / Step 7 / 20261027-070531</x:v>
      </x:c>
      <x:c r="Q83" s="18" t="str">
        <x:v>Pass</x:v>
      </x:c>
      <x:c r="R83" s="18"/>
      <x:c r="S83" s="18"/>
      <x:c r="T83" s="18"/>
      <x:c r="U83" s="18"/>
      <x:c r="V83" s="18" t="str">
        <x:v>QA at merge 5995394ef27c; approval pending; </x:v>
      </x:c>
    </x:row>
    <x:row r="84" ht="56" customHeight="1">
      <x:c r="A84" s="18" t="str">
        <x:v>HTTP-03</x:v>
      </x:c>
      <x:c r="B84" s="18" t="str">
        <x:v>Payment Status chưa xác thực</x:v>
      </x:c>
      <x:c r="C84" s="18" t="str">
        <x:v>Chưa ánh xạ FR chính thức; source PR #14</x:v>
      </x:c>
      <x:c r="D84" s="18" t="str">
        <x:v>N/A — yêu cầu BR chưa được đối chiếu</x:v>
      </x:c>
      <x:c r="E84" s="18" t="str">
        <x:v>US-D02 (parent story SPARK-247)</x:v>
      </x:c>
      <x:c r="F84" s="18" t="str">
        <x:v>Chưa đối chiếu UC</x:v>
      </x:c>
      <x:c r="G84" s="18" t="str">
        <x:v>GET /api/v1/payments/transactions/{transactionId}/status</x:v>
      </x:c>
      <x:c r="H84" s="18" t="str">
        <x:v>SPARK-250</x:v>
      </x:c>
      <x:c r="I84" s="18" t="str">
        <x:v>API / HTTP negative or smoke</x:v>
      </x:c>
      <x:c r="J84" s="18" t="str">
        <x:v>Medium</x:v>
      </x:c>
      <x:c r="K84" s="18" t="str">
        <x:v>QA commit 5995394ef27c; environment per execution log</x:v>
      </x:c>
      <x:c r="L84" s="18" t="str">
        <x:v>Local development/mock; synthetic local data; no real payment</x:v>
      </x:c>
      <x:c r="M84" s="18" t="str">
        <x:v>1. Read contract/source and preflight QA fixture. 2. Run HTTP-03. 3. Compare HTTP/state and DB read-back when applicable.</x:v>
      </x:c>
      <x:c r="N84" s="18" t="str">
        <x:v>GET transaction/status không token → 401</x:v>
      </x:c>
      <x:c r="O84" s="18" t="str">
        <x:v>HTTP 401 sau retest curl + PowerShell</x:v>
      </x:c>
      <x:c r="P84" s="18" t="str">
        <x:v>QA console / Step 8 / 20261027-070837</x:v>
      </x:c>
      <x:c r="Q84" s="18" t="str">
        <x:v>Pass</x:v>
      </x:c>
      <x:c r="R84" s="18"/>
      <x:c r="S84" s="18"/>
      <x:c r="T84" s="18"/>
      <x:c r="U84" s="18"/>
      <x:c r="V84" s="18" t="str">
        <x:v>QA at merge 5995394ef27c; approval pending; Lần đầu gặp ProtocolViolationException của client.</x:v>
      </x:c>
    </x:row>
    <x:row r="85" ht="56" customHeight="1">
      <x:c r="A85" s="18" t="str">
        <x:v>HTTP-04</x:v>
      </x:c>
      <x:c r="B85" s="18" t="str">
        <x:v>Pricing chưa xác thực</x:v>
      </x:c>
      <x:c r="C85" s="18" t="str">
        <x:v>Chưa ánh xạ FR chính thức; source PR #14</x:v>
      </x:c>
      <x:c r="D85" s="18" t="str">
        <x:v>N/A — yêu cầu BR chưa được đối chiếu</x:v>
      </x:c>
      <x:c r="E85" s="18" t="str">
        <x:v>Chưa đối chiếu US</x:v>
      </x:c>
      <x:c r="F85" s="18" t="str">
        <x:v>Chưa đối chiếu UC</x:v>
      </x:c>
      <x:c r="G85" s="18" t="str">
        <x:v>POST /api/v1/pricing/calculate</x:v>
      </x:c>
      <x:c r="H85" s="18" t="str">
        <x:v>SPARK-229 (pricing regression; verify issue mapping)</x:v>
      </x:c>
      <x:c r="I85" s="18" t="str">
        <x:v>API / HTTP negative or smoke</x:v>
      </x:c>
      <x:c r="J85" s="18" t="str">
        <x:v>Medium</x:v>
      </x:c>
      <x:c r="K85" s="18" t="str">
        <x:v>QA commit 5995394ef27c; environment per execution log</x:v>
      </x:c>
      <x:c r="L85" s="18" t="str">
        <x:v>Local development/mock; synthetic local data; no real payment</x:v>
      </x:c>
      <x:c r="M85" s="18" t="str">
        <x:v>1. Read contract/source and preflight QA fixture. 2. Run HTTP-04. 3. Compare HTTP/state and DB read-back when applicable.</x:v>
      </x:c>
      <x:c r="N85" s="18" t="str">
        <x:v>POST pricing/calculate không token → 401</x:v>
      </x:c>
      <x:c r="O85" s="18" t="str">
        <x:v>HTTP 401</x:v>
      </x:c>
      <x:c r="P85" s="18" t="str">
        <x:v>QA console / Step 7 / 20261027-070531</x:v>
      </x:c>
      <x:c r="Q85" s="18" t="str">
        <x:v>Pass</x:v>
      </x:c>
      <x:c r="R85" s="18"/>
      <x:c r="S85" s="18"/>
      <x:c r="T85" s="18"/>
      <x:c r="U85" s="18"/>
      <x:c r="V85" s="18" t="str">
        <x:v>QA at merge 5995394ef27c; approval pending; </x:v>
      </x:c>
    </x:row>
    <x:row r="86" ht="56" customHeight="1">
      <x:c r="A86" s="18" t="str">
        <x:v>HTTP-05</x:v>
      </x:c>
      <x:c r="B86" s="18" t="str">
        <x:v>Webhook JSON không hợp lệ</x:v>
      </x:c>
      <x:c r="C86" s="18" t="str">
        <x:v>Chưa ánh xạ FR chính thức; source PR #14</x:v>
      </x:c>
      <x:c r="D86" s="18" t="str">
        <x:v>N/A — yêu cầu BR chưa được đối chiếu</x:v>
      </x:c>
      <x:c r="E86" s="18" t="str">
        <x:v>US-D02 (parent story SPARK-247)</x:v>
      </x:c>
      <x:c r="F86" s="18" t="str">
        <x:v>Chưa đối chiếu UC</x:v>
      </x:c>
      <x:c r="G86" s="18" t="str">
        <x:v>POST /api/v1/payments/callbacks/payos</x:v>
      </x:c>
      <x:c r="H86" s="18" t="str">
        <x:v>SPARK-250</x:v>
      </x:c>
      <x:c r="I86" s="18" t="str">
        <x:v>API / HTTP negative or smoke</x:v>
      </x:c>
      <x:c r="J86" s="18" t="str">
        <x:v>Medium</x:v>
      </x:c>
      <x:c r="K86" s="18" t="str">
        <x:v>QA commit 5995394ef27c; environment per execution log</x:v>
      </x:c>
      <x:c r="L86" s="18" t="str">
        <x:v>Local development/mock; synthetic local data; no real payment</x:v>
      </x:c>
      <x:c r="M86" s="18" t="str">
        <x:v>1. Read contract/source and preflight QA fixture. 2. Run HTTP-05. 3. Compare HTTP/state and DB read-back when applicable.</x:v>
      </x:c>
      <x:c r="N86" s="18" t="str">
        <x:v>POST callbacks/payos với JSON sai → 400</x:v>
      </x:c>
      <x:c r="O86" s="18" t="str">
        <x:v>HTTP 400</x:v>
      </x:c>
      <x:c r="P86" s="18" t="str">
        <x:v>QA console / Step 7 / 20261027-070531</x:v>
      </x:c>
      <x:c r="Q86" s="18" t="str">
        <x:v>Pass</x:v>
      </x:c>
      <x:c r="R86" s="18"/>
      <x:c r="S86" s="18"/>
      <x:c r="T86" s="18"/>
      <x:c r="U86" s="18"/>
      <x:c r="V86" s="18" t="str">
        <x:v>QA at merge 5995394ef27c; approval pending; </x:v>
      </x:c>
    </x:row>
    <x:row r="87" ht="56" customHeight="1">
      <x:c r="A87" s="18" t="str">
        <x:v>HTTP-06</x:v>
      </x:c>
      <x:c r="B87" s="18" t="str">
        <x:v>Checkout JSON không hợp lệ</x:v>
      </x:c>
      <x:c r="C87" s="18" t="str">
        <x:v>Chưa ánh xạ FR chính thức; source PR #14</x:v>
      </x:c>
      <x:c r="D87" s="18" t="str">
        <x:v>N/A — yêu cầu BR chưa được đối chiếu</x:v>
      </x:c>
      <x:c r="E87" s="18" t="str">
        <x:v>US-D02 (parent story SPARK-247)</x:v>
      </x:c>
      <x:c r="F87" s="18" t="str">
        <x:v>Chưa đối chiếu UC</x:v>
      </x:c>
      <x:c r="G87" s="18" t="str">
        <x:v>POST /api/v1/payments/orders/{orderId}/checkout</x:v>
      </x:c>
      <x:c r="H87" s="18" t="str">
        <x:v>SPARK-250</x:v>
      </x:c>
      <x:c r="I87" s="18" t="str">
        <x:v>API / HTTP negative or smoke</x:v>
      </x:c>
      <x:c r="J87" s="18" t="str">
        <x:v>Medium</x:v>
      </x:c>
      <x:c r="K87" s="18" t="str">
        <x:v>QA commit 5995394ef27c; environment per execution log</x:v>
      </x:c>
      <x:c r="L87" s="18" t="str">
        <x:v>Local development/mock; synthetic local data; no real payment</x:v>
      </x:c>
      <x:c r="M87" s="18" t="str">
        <x:v>1. Read contract/source and preflight QA fixture. 2. Run HTTP-06. 3. Compare HTTP/state and DB read-back when applicable.</x:v>
      </x:c>
      <x:c r="N87" s="18" t="str">
        <x:v>POST checkout với JSON sai → 400</x:v>
      </x:c>
      <x:c r="O87" s="18" t="str">
        <x:v>HTTP 400</x:v>
      </x:c>
      <x:c r="P87" s="18" t="str">
        <x:v>QA console / Step 7 / 20261027-070531</x:v>
      </x:c>
      <x:c r="Q87" s="18" t="str">
        <x:v>Pass</x:v>
      </x:c>
      <x:c r="R87" s="18"/>
      <x:c r="S87" s="18"/>
      <x:c r="T87" s="18"/>
      <x:c r="U87" s="18"/>
      <x:c r="V87" s="18" t="str">
        <x:v>QA at merge 5995394ef27c; approval pending; Development giả lập xác thực; không chứng minh JWT production.</x:v>
      </x:c>
    </x:row>
    <x:row r="88" ht="56" customHeight="1">
      <x:c r="A88" s="18" t="str">
        <x:v>DB-HTTP-01</x:v>
      </x:c>
      <x:c r="B88" s="18" t="str">
        <x:v>Transaction ID không tồn tại</x:v>
      </x:c>
      <x:c r="C88" s="18" t="str">
        <x:v>Chưa ánh xạ FR chính thức; source PR #14</x:v>
      </x:c>
      <x:c r="D88" s="18" t="str">
        <x:v>N/A — yêu cầu BR chưa được đối chiếu</x:v>
      </x:c>
      <x:c r="E88" s="18" t="str">
        <x:v>US-D02 (parent story SPARK-247)</x:v>
      </x:c>
      <x:c r="F88" s="18" t="str">
        <x:v>Chưa đối chiếu UC</x:v>
      </x:c>
      <x:c r="G88" s="18" t="str">
        <x:v>GET /api/v1/payments/transactions/{transactionId}/status</x:v>
      </x:c>
      <x:c r="H88" s="18" t="str">
        <x:v>SPARK-250</x:v>
      </x:c>
      <x:c r="I88" s="18" t="str">
        <x:v>API + PostgreSQL integration</x:v>
      </x:c>
      <x:c r="J88" s="18" t="str">
        <x:v>Medium</x:v>
      </x:c>
      <x:c r="K88" s="18" t="str">
        <x:v>QA commit 5995394ef27c; environment per execution log</x:v>
      </x:c>
      <x:c r="L88" s="18" t="str">
        <x:v>PostgreSQL thật; dữ liệu QA; synthetic local data; no real payment</x:v>
      </x:c>
      <x:c r="M88" s="18" t="str">
        <x:v>1. Read contract/source and preflight QA fixture. 2. Run DB-HTTP-01. 3. Compare HTTP/state and DB read-back when applicable.</x:v>
      </x:c>
      <x:c r="N88" s="18" t="str">
        <x:v>HTTP 404; TRANSACTION_NOT_FOUND</x:v>
      </x:c>
      <x:c r="O88" s="18" t="str">
        <x:v>HTTP 404; TRANSACTION_NOT_FOUND</x:v>
      </x:c>
      <x:c r="P88" s="18" t="str">
        <x:v>QA console / Step 9 / PowerShell output</x:v>
      </x:c>
      <x:c r="Q88" s="18" t="str">
        <x:v>Pass</x:v>
      </x:c>
      <x:c r="R88" s="18"/>
      <x:c r="S88" s="18"/>
      <x:c r="T88" s="18"/>
      <x:c r="U88" s="18"/>
      <x:c r="V88" s="18" t="str">
        <x:v>QA at merge 5995394ef27c; approval pending; Read-only GET</x:v>
      </x:c>
    </x:row>
    <x:row r="89" ht="56" customHeight="1">
      <x:c r="A89" s="18" t="str">
        <x:v>DB-HTTP-02</x:v>
      </x:c>
      <x:c r="B89" s="18" t="str">
        <x:v>Order ID không tồn tại</x:v>
      </x:c>
      <x:c r="C89" s="18" t="str">
        <x:v>Chưa ánh xạ FR chính thức; source PR #14</x:v>
      </x:c>
      <x:c r="D89" s="18" t="str">
        <x:v>N/A — yêu cầu BR chưa được đối chiếu</x:v>
      </x:c>
      <x:c r="E89" s="18" t="str">
        <x:v>US-D02 (parent story SPARK-247)</x:v>
      </x:c>
      <x:c r="F89" s="18" t="str">
        <x:v>Chưa đối chiếu UC</x:v>
      </x:c>
      <x:c r="G89" s="18" t="str">
        <x:v>POST /api/v1/payments/orders/{orderId}/checkout</x:v>
      </x:c>
      <x:c r="H89" s="18" t="str">
        <x:v>SPARK-250</x:v>
      </x:c>
      <x:c r="I89" s="18" t="str">
        <x:v>API + PostgreSQL integration</x:v>
      </x:c>
      <x:c r="J89" s="18" t="str">
        <x:v>Medium</x:v>
      </x:c>
      <x:c r="K89" s="18" t="str">
        <x:v>QA commit 5995394ef27c; environment per execution log</x:v>
      </x:c>
      <x:c r="L89" s="18" t="str">
        <x:v>PostgreSQL thật; dữ liệu QA; synthetic local data; no real payment</x:v>
      </x:c>
      <x:c r="M89" s="18" t="str">
        <x:v>1. Read contract/source and preflight QA fixture. 2. Run DB-HTTP-02. 3. Compare HTTP/state and DB read-back when applicable.</x:v>
      </x:c>
      <x:c r="N89" s="18" t="str">
        <x:v>HTTP 404; ORDER_NOT_FOUND</x:v>
      </x:c>
      <x:c r="O89" s="18" t="str">
        <x:v>HTTP 404; ORDER_NOT_FOUND</x:v>
      </x:c>
      <x:c r="P89" s="18" t="str">
        <x:v>QA console / Step 9 / PowerShell output</x:v>
      </x:c>
      <x:c r="Q89" s="18" t="str">
        <x:v>Pass</x:v>
      </x:c>
      <x:c r="R89" s="18"/>
      <x:c r="S89" s="18"/>
      <x:c r="T89" s="18"/>
      <x:c r="U89" s="18"/>
      <x:c r="V89" s="18" t="str">
        <x:v>QA at merge 5995394ef27c; approval pending; Negative POST không tạo order</x:v>
      </x:c>
    </x:row>
    <x:row r="90" ht="56" customHeight="1">
      <x:c r="A90" s="18" t="str">
        <x:v>CHECKOUT-01</x:v>
      </x:c>
      <x:c r="B90" s="18" t="str">
        <x:v>Tạo checkout hợp lệ với đơn QA</x:v>
      </x:c>
      <x:c r="C90" s="18" t="str">
        <x:v>Chưa ánh xạ FR chính thức; source PR #14</x:v>
      </x:c>
      <x:c r="D90" s="18" t="str">
        <x:v>N/A — yêu cầu BR chưa được đối chiếu</x:v>
      </x:c>
      <x:c r="E90" s="18" t="str">
        <x:v>US-D02 (parent story SPARK-247)</x:v>
      </x:c>
      <x:c r="F90" s="18" t="str">
        <x:v>Chưa đối chiếu UC</x:v>
      </x:c>
      <x:c r="G90" s="18" t="str">
        <x:v>POST /api/v1/payments/orders/{orderId}/checkout</x:v>
      </x:c>
      <x:c r="H90" s="18" t="str">
        <x:v>SPARK-250</x:v>
      </x:c>
      <x:c r="I90" s="18" t="str">
        <x:v>API + PostgreSQL integration</x:v>
      </x:c>
      <x:c r="J90" s="18" t="str">
        <x:v>High</x:v>
      </x:c>
      <x:c r="K90" s="18" t="str">
        <x:v>QA commit 5995394ef27c; environment per execution log</x:v>
      </x:c>
      <x:c r="L90" s="18" t="str">
        <x:v>Mock payOS + PostgreSQL; synthetic local data; no real payment</x:v>
      </x:c>
      <x:c r="M90" s="18" t="str">
        <x:v>1. Read contract/source and preflight QA fixture. 2. Run CHECKOUT-01. 3. Compare HTTP/state and DB read-back when applicable.</x:v>
      </x:c>
      <x:c r="N90" s="18" t="str">
        <x:v>HTTP 200; amount=25000; PENDING; không replay</x:v>
      </x:c>
      <x:c r="O90" s="18" t="str">
        <x:v>HTTP 200; amount=25000; PENDING; isReplayed=false</x:v>
      </x:c>
      <x:c r="P90" s="18" t="str">
        <x:v>QA console / Step 10 / PowerShell output</x:v>
      </x:c>
      <x:c r="Q90" s="18" t="str">
        <x:v>Pass</x:v>
      </x:c>
      <x:c r="R90" s="18"/>
      <x:c r="S90" s="18"/>
      <x:c r="T90" s="18"/>
      <x:c r="U90" s="18"/>
      <x:c r="V90" s="18" t="str">
        <x:v>QA at merge 5995394ef27c; approval pending; 1 order QA, 25.000đ; không thanh toán thật</x:v>
      </x:c>
    </x:row>
    <x:row r="91" ht="56" customHeight="1">
      <x:c r="A91" s="18" t="str">
        <x:v>CHECKOUT-02</x:v>
      </x:c>
      <x:c r="B91" s="18" t="str">
        <x:v>Replay Idempotency-Key</x:v>
      </x:c>
      <x:c r="C91" s="18" t="str">
        <x:v>Chưa ánh xạ FR chính thức; source PR #14</x:v>
      </x:c>
      <x:c r="D91" s="18" t="str">
        <x:v>N/A — yêu cầu BR chưa được đối chiếu</x:v>
      </x:c>
      <x:c r="E91" s="18" t="str">
        <x:v>US-D02 (parent story SPARK-247)</x:v>
      </x:c>
      <x:c r="F91" s="18" t="str">
        <x:v>Chưa đối chiếu UC</x:v>
      </x:c>
      <x:c r="G91" s="18" t="str">
        <x:v>POST /api/v1/payments/orders/{orderId}/checkout</x:v>
      </x:c>
      <x:c r="H91" s="18" t="str">
        <x:v>SPARK-250</x:v>
      </x:c>
      <x:c r="I91" s="18" t="str">
        <x:v>API + PostgreSQL integration</x:v>
      </x:c>
      <x:c r="J91" s="18" t="str">
        <x:v>High</x:v>
      </x:c>
      <x:c r="K91" s="18" t="str">
        <x:v>QA commit 5995394ef27c; environment per execution log</x:v>
      </x:c>
      <x:c r="L91" s="18" t="str">
        <x:v>Mock payOS + PostgreSQL; synthetic local data; no real payment</x:v>
      </x:c>
      <x:c r="M91" s="18" t="str">
        <x:v>1. Read contract/source and preflight QA fixture. 2. Run CHECKOUT-02. 3. Compare HTTP/state and DB read-back when applicable.</x:v>
      </x:c>
      <x:c r="N91" s="18" t="str">
        <x:v>Dùng lại transaction; isReplayed=true</x:v>
      </x:c>
      <x:c r="O91" s="18" t="str">
        <x:v>Trả cùng Transaction ID; isReplayed=true</x:v>
      </x:c>
      <x:c r="P91" s="18" t="str">
        <x:v>QA console / Step 10 / PowerShell output</x:v>
      </x:c>
      <x:c r="Q91" s="18" t="str">
        <x:v>Pass</x:v>
      </x:c>
      <x:c r="R91" s="18"/>
      <x:c r="S91" s="18"/>
      <x:c r="T91" s="18"/>
      <x:c r="U91" s="18"/>
      <x:c r="V91" s="18" t="str">
        <x:v>QA at merge 5995394ef27c; approval pending; Không tạo giao dịch mới</x:v>
      </x:c>
    </x:row>
    <x:row r="92" ht="56" customHeight="1">
      <x:c r="A92" s="18" t="str">
        <x:v>DB-POST-01</x:v>
      </x:c>
      <x:c r="B92" s="18" t="str">
        <x:v>Đối chiếu bản ghi sau checkout</x:v>
      </x:c>
      <x:c r="C92" s="18" t="str">
        <x:v>Chưa ánh xạ FR chính thức; source PR #14</x:v>
      </x:c>
      <x:c r="D92" s="18" t="str">
        <x:v>N/A — yêu cầu BR chưa được đối chiếu</x:v>
      </x:c>
      <x:c r="E92" s="18" t="str">
        <x:v>US-D02 (parent story SPARK-247)</x:v>
      </x:c>
      <x:c r="F92" s="18" t="str">
        <x:v>Chưa đối chiếu UC</x:v>
      </x:c>
      <x:c r="G92" s="18" t="str">
        <x:v>DB: payment_orders / payment_transactions</x:v>
      </x:c>
      <x:c r="H92" s="18" t="str">
        <x:v>SPARK-250</x:v>
      </x:c>
      <x:c r="I92" s="18" t="str">
        <x:v>API + PostgreSQL integration</x:v>
      </x:c>
      <x:c r="J92" s="18" t="str">
        <x:v>Medium</x:v>
      </x:c>
      <x:c r="K92" s="18" t="str">
        <x:v>QA commit 5995394ef27c; environment per execution log</x:v>
      </x:c>
      <x:c r="L92" s="18" t="str">
        <x:v>PostgreSQL thật; synthetic local data; no real payment</x:v>
      </x:c>
      <x:c r="M92" s="18" t="str">
        <x:v>1. Read contract/source and preflight QA fixture. 2. Run DB-POST-01. 3. Compare HTTP/state and DB read-back when applicable.</x:v>
      </x:c>
      <x:c r="N92" s="18" t="str">
        <x:v>Order PENDING; đúng 1 transaction PENDING</x:v>
      </x:c>
      <x:c r="O92" s="18" t="str">
        <x:v>Order PENDING; đúng 1 transaction PENDING</x:v>
      </x:c>
      <x:c r="P92" s="18" t="str">
        <x:v>QA console / Step 10 / PowerShell output</x:v>
      </x:c>
      <x:c r="Q92" s="18" t="str">
        <x:v>Pass</x:v>
      </x:c>
      <x:c r="R92" s="18"/>
      <x:c r="S92" s="18"/>
      <x:c r="T92" s="18"/>
      <x:c r="U92" s="18"/>
      <x:c r="V92" s="18" t="str">
        <x:v>QA at merge 5995394ef27c; approval pending; Order 8ff18292-9fd0-4c02-9c61-81000e79adc0</x:v>
      </x:c>
    </x:row>
    <x:row r="93" ht="56" customHeight="1">
      <x:c r="A93" s="18" t="str">
        <x:v>WEBHOOK-01</x:v>
      </x:c>
      <x:c r="B93" s="18" t="str">
        <x:v>Sai chữ ký HMAC</x:v>
      </x:c>
      <x:c r="C93" s="18" t="str">
        <x:v>Chưa ánh xạ FR chính thức; source PR #14</x:v>
      </x:c>
      <x:c r="D93" s="18" t="str">
        <x:v>N/A — yêu cầu BR chưa được đối chiếu</x:v>
      </x:c>
      <x:c r="E93" s="18" t="str">
        <x:v>US-D02 (parent story SPARK-247)</x:v>
      </x:c>
      <x:c r="F93" s="18" t="str">
        <x:v>Chưa đối chiếu UC</x:v>
      </x:c>
      <x:c r="G93" s="18" t="str">
        <x:v>POST /api/v1/payments/callbacks/payos</x:v>
      </x:c>
      <x:c r="H93" s="18" t="str">
        <x:v>SPARK-250</x:v>
      </x:c>
      <x:c r="I93" s="18" t="str">
        <x:v>API webhook / security + persistence</x:v>
      </x:c>
      <x:c r="J93" s="18" t="str">
        <x:v>High</x:v>
      </x:c>
      <x:c r="K93" s="18" t="str">
        <x:v>QA commit 5995394ef27c; environment per execution log</x:v>
      </x:c>
      <x:c r="L93" s="18" t="str">
        <x:v>Local signed mock + PostgreSQL; synthetic local data; no real payment</x:v>
      </x:c>
      <x:c r="M93" s="18" t="str">
        <x:v>1. Read contract/source and preflight QA fixture. 2. Run WEBHOOK-01. 3. Compare HTTP/state and DB read-back when applicable.</x:v>
      </x:c>
      <x:c r="N93" s="18" t="str">
        <x:v>HTTP 400 INVALID_WEBHOOK_SIGNATURE</x:v>
      </x:c>
      <x:c r="O93" s="18" t="str">
        <x:v>HTTP 400 INVALID_WEBHOOK_SIGNATURE</x:v>
      </x:c>
      <x:c r="P93" s="18" t="str">
        <x:v>QA console / Step 11 / PowerShell output</x:v>
      </x:c>
      <x:c r="Q93" s="18" t="str">
        <x:v>Pass</x:v>
      </x:c>
      <x:c r="R93" s="18"/>
      <x:c r="S93" s="18"/>
      <x:c r="T93" s="18"/>
      <x:c r="U93" s="18"/>
      <x:c r="V93" s="18" t="str">
        <x:v>QA at merge 5995394ef27c; approval pending; Không sử dụng webhook payOS production</x:v>
      </x:c>
    </x:row>
    <x:row r="94" ht="56" customHeight="1">
      <x:c r="A94" s="18" t="str">
        <x:v>WEBHOOK-02</x:v>
      </x:c>
      <x:c r="B94" s="18" t="str">
        <x:v>Chữ ký hợp lệ, lệch số tiền +1đ</x:v>
      </x:c>
      <x:c r="C94" s="18" t="str">
        <x:v>Chưa ánh xạ FR chính thức; source PR #14</x:v>
      </x:c>
      <x:c r="D94" s="18" t="str">
        <x:v>N/A — yêu cầu BR chưa được đối chiếu</x:v>
      </x:c>
      <x:c r="E94" s="18" t="str">
        <x:v>US-D02 (parent story SPARK-247)</x:v>
      </x:c>
      <x:c r="F94" s="18" t="str">
        <x:v>Chưa đối chiếu UC</x:v>
      </x:c>
      <x:c r="G94" s="18" t="str">
        <x:v>POST /api/v1/payments/callbacks/payos</x:v>
      </x:c>
      <x:c r="H94" s="18" t="str">
        <x:v>SPARK-250</x:v>
      </x:c>
      <x:c r="I94" s="18" t="str">
        <x:v>API webhook / security + persistence</x:v>
      </x:c>
      <x:c r="J94" s="18" t="str">
        <x:v>High — financial state</x:v>
      </x:c>
      <x:c r="K94" s="18" t="str">
        <x:v>Order 8ff18292-9fd0-4c02-9c61-81000e79adc0; transaction ad76c982-c790-4af5-aa77-18e5522ce150; PENDING; mock gateway</x:v>
      </x:c>
      <x:c r="L94" s="18" t="str">
        <x:v>amount=25001; orderCode=1793085765515; local QA checksum; 127.0.0.1 only</x:v>
      </x:c>
      <x:c r="M94" s="18" t="str">
        <x:v>1. Use existing local pending 25,000 VND QA order. 2. POST signed webhook amount=25001 (local QA HMAC). 3. Check response and read-only PostgreSQL audit. Retest once.</x:v>
      </x:c>
      <x:c r="N94" s="18" t="str">
        <x:v>HTTP 400 AMOUNT_MISMATCH</x:v>
      </x:c>
      <x:c r="O94" s="18" t="str">
        <x:v>HTTP 500 INTERNAL_SERVER_ERROR (tái hiện 2 lần)</x:v>
      </x:c>
      <x:c r="P94" s="18" t="str">
        <x:v>QA console / Step 11 và 11-R1 / 20261027-073655</x:v>
      </x:c>
      <x:c r="Q94" s="18" t="str">
        <x:v>Fail</x:v>
      </x:c>
      <x:c r="R94" s="18" t="str">
        <x:v>PR14-WEBHOOK-001</x:v>
      </x:c>
      <x:c r="S94" s="18" t="str">
        <x:v>Step 11-R1 / 2nd reproduction</x:v>
      </x:c>
      <x:c r="T94" s="18"/>
      <x:c r="U94" s="18"/>
      <x:c r="V94" s="18" t="str">
        <x:v>QA at merge 5995394ef27c; approval pending; Giữ QA HOLD; chưa có stack trace xác nhận root cause</x:v>
      </x:c>
    </x:row>
    <x:row r="95" ht="56" customHeight="1">
      <x:c r="A95" s="18" t="str">
        <x:v>WEBHOOK-03</x:v>
      </x:c>
      <x:c r="B95" s="18" t="str">
        <x:v>Webhook hợp lệ / PAID</x:v>
      </x:c>
      <x:c r="C95" s="18" t="str">
        <x:v>Chưa ánh xạ FR chính thức; source PR #14</x:v>
      </x:c>
      <x:c r="D95" s="18" t="str">
        <x:v>N/A — yêu cầu BR chưa được đối chiếu</x:v>
      </x:c>
      <x:c r="E95" s="18" t="str">
        <x:v>US-D02 (parent story SPARK-247)</x:v>
      </x:c>
      <x:c r="F95" s="18" t="str">
        <x:v>Chưa đối chiếu UC</x:v>
      </x:c>
      <x:c r="G95" s="18" t="str">
        <x:v>POST /api/v1/payments/callbacks/payos</x:v>
      </x:c>
      <x:c r="H95" s="18" t="str">
        <x:v>SPARK-250</x:v>
      </x:c>
      <x:c r="I95" s="18" t="str">
        <x:v>API webhook / security + persistence</x:v>
      </x:c>
      <x:c r="J95" s="18" t="str">
        <x:v>High</x:v>
      </x:c>
      <x:c r="K95" s="18" t="str">
        <x:v>QA commit 5995394ef27c; environment per execution log</x:v>
      </x:c>
      <x:c r="L95" s="18" t="str">
        <x:v>Local mock/DB; synthetic local data; no real payment</x:v>
      </x:c>
      <x:c r="M95" s="18" t="str">
        <x:v>1. Read contract/source and preflight QA fixture. 2. Run WEBHOOK-03. 3. Compare HTTP/state and DB read-back when applicable.</x:v>
      </x:c>
      <x:c r="N95" s="18" t="str">
        <x:v>Đạt nghiệp vụ tại commit thử nghiệm</x:v>
      </x:c>
      <x:c r="O95" s="18" t="str">
        <x:v>Không thực hiện</x:v>
      </x:c>
      <x:c r="P95" s="18" t="str">
        <x:v>QA console / Step 11 – dừng có kiểm soát</x:v>
      </x:c>
      <x:c r="Q95" s="18" t="str">
        <x:v>Not Run</x:v>
      </x:c>
      <x:c r="R95" s="18"/>
      <x:c r="S95" s="18"/>
      <x:c r="T95" s="18"/>
      <x:c r="U95" s="18"/>
      <x:c r="V95" s="18" t="str">
        <x:v>QA at merge 5995394ef27c; approval pending; Dừng theo FAIL của WEBHOOK-02; chưa gửi webhook hợp lệ</x:v>
      </x:c>
    </x:row>
    <x:row r="96" ht="56" customHeight="1">
      <x:c r="A96" s="18" t="str">
        <x:v>WEBHOOK-04</x:v>
      </x:c>
      <x:c r="B96" s="18" t="str">
        <x:v>Replay webhook trùng</x:v>
      </x:c>
      <x:c r="C96" s="18" t="str">
        <x:v>Chưa ánh xạ FR chính thức; source PR #14</x:v>
      </x:c>
      <x:c r="D96" s="18" t="str">
        <x:v>N/A — yêu cầu BR chưa được đối chiếu</x:v>
      </x:c>
      <x:c r="E96" s="18" t="str">
        <x:v>US-D02 (parent story SPARK-247)</x:v>
      </x:c>
      <x:c r="F96" s="18" t="str">
        <x:v>Chưa đối chiếu UC</x:v>
      </x:c>
      <x:c r="G96" s="18" t="str">
        <x:v>POST /api/v1/payments/callbacks/payos</x:v>
      </x:c>
      <x:c r="H96" s="18" t="str">
        <x:v>SPARK-250</x:v>
      </x:c>
      <x:c r="I96" s="18" t="str">
        <x:v>API webhook / security + persistence</x:v>
      </x:c>
      <x:c r="J96" s="18" t="str">
        <x:v>High</x:v>
      </x:c>
      <x:c r="K96" s="18" t="str">
        <x:v>QA commit 5995394ef27c; environment per execution log</x:v>
      </x:c>
      <x:c r="L96" s="18" t="str">
        <x:v>Local mock/DB; synthetic local data; no real payment</x:v>
      </x:c>
      <x:c r="M96" s="18" t="str">
        <x:v>1. Read contract/source and preflight QA fixture. 2. Run WEBHOOK-04. 3. Compare HTTP/state and DB read-back when applicable.</x:v>
      </x:c>
      <x:c r="N96" s="18" t="str">
        <x:v>Đạt nghiệp vụ tại commit thử nghiệm</x:v>
      </x:c>
      <x:c r="O96" s="18" t="str">
        <x:v>Không thực hiện</x:v>
      </x:c>
      <x:c r="P96" s="18" t="str">
        <x:v>QA console / Step 11 – dừng có kiểm soát</x:v>
      </x:c>
      <x:c r="Q96" s="18" t="str">
        <x:v>Not Run</x:v>
      </x:c>
      <x:c r="R96" s="18"/>
      <x:c r="S96" s="18"/>
      <x:c r="T96" s="18"/>
      <x:c r="U96" s="18"/>
      <x:c r="V96" s="18" t="str">
        <x:v>QA at merge 5995394ef27c; approval pending; Chưa chạy vì luồng webhook đang HOLD</x:v>
      </x:c>
    </x:row>
    <x:row r="97" ht="56" customHeight="1">
      <x:c r="A97" s="18" t="str">
        <x:v>STATUS-01</x:v>
      </x:c>
      <x:c r="B97" s="18" t="str">
        <x:v>Đọc status SUCCESS và isAuthoritative</x:v>
      </x:c>
      <x:c r="C97" s="18" t="str">
        <x:v>Chưa ánh xạ FR chính thức; source PR #14</x:v>
      </x:c>
      <x:c r="D97" s="18" t="str">
        <x:v>N/A — yêu cầu BR chưa được đối chiếu</x:v>
      </x:c>
      <x:c r="E97" s="18" t="str">
        <x:v>US-D02 (parent story SPARK-247)</x:v>
      </x:c>
      <x:c r="F97" s="18" t="str">
        <x:v>Chưa đối chiếu UC</x:v>
      </x:c>
      <x:c r="G97" s="18" t="str">
        <x:v>GET /api/v1/payments/transactions/{transactionId}/status</x:v>
      </x:c>
      <x:c r="H97" s="18" t="str">
        <x:v>SPARK-250</x:v>
      </x:c>
      <x:c r="I97" s="18" t="str">
        <x:v>API / reconciliation after webhook</x:v>
      </x:c>
      <x:c r="J97" s="18" t="str">
        <x:v>High</x:v>
      </x:c>
      <x:c r="K97" s="18" t="str">
        <x:v>QA commit 5995394ef27c; environment per execution log</x:v>
      </x:c>
      <x:c r="L97" s="18" t="str">
        <x:v>Local mock/DB; synthetic local data; no real payment</x:v>
      </x:c>
      <x:c r="M97" s="18" t="str">
        <x:v>1. Read contract/source and preflight QA fixture. 2. Run STATUS-01. 3. Compare HTTP/state and DB read-back when applicable.</x:v>
      </x:c>
      <x:c r="N97" s="18" t="str">
        <x:v>Đạt nghiệp vụ tại commit thử nghiệm</x:v>
      </x:c>
      <x:c r="O97" s="18" t="str">
        <x:v>Không thực hiện</x:v>
      </x:c>
      <x:c r="P97" s="18" t="str">
        <x:v>QA console / Step 11 – dừng có kiểm soát</x:v>
      </x:c>
      <x:c r="Q97" s="18" t="str">
        <x:v>Not Run</x:v>
      </x:c>
      <x:c r="R97" s="18"/>
      <x:c r="S97" s="18"/>
      <x:c r="T97" s="18"/>
      <x:c r="U97" s="18"/>
      <x:c r="V97" s="18" t="str">
        <x:v>QA at merge 5995394ef27c; approval pending; Chưa có webhook hợp lệ dẫn đến SUCCESS</x:v>
      </x:c>
    </x:row>
    <x:row r="98" ht="56" customHeight="1">
      <x:c r="A98" s="18" t="str">
        <x:v>DB-WEBHOOK-01</x:v>
      </x:c>
      <x:c r="B98" s="18" t="str">
        <x:v>Kiểm tra PAID/SUCCESS và event trạng thái</x:v>
      </x:c>
      <x:c r="C98" s="18" t="str">
        <x:v>Chưa ánh xạ FR chính thức; source PR #14</x:v>
      </x:c>
      <x:c r="D98" s="18" t="str">
        <x:v>N/A — yêu cầu BR chưa được đối chiếu</x:v>
      </x:c>
      <x:c r="E98" s="18" t="str">
        <x:v>US-D02 (parent story SPARK-247)</x:v>
      </x:c>
      <x:c r="F98" s="18" t="str">
        <x:v>Chưa đối chiếu UC</x:v>
      </x:c>
      <x:c r="G98" s="18" t="str">
        <x:v>POST /api/v1/payments/callbacks/payos</x:v>
      </x:c>
      <x:c r="H98" s="18" t="str">
        <x:v>SPARK-250</x:v>
      </x:c>
      <x:c r="I98" s="18" t="str">
        <x:v>API + PostgreSQL integration</x:v>
      </x:c>
      <x:c r="J98" s="18" t="str">
        <x:v>High</x:v>
      </x:c>
      <x:c r="K98" s="18" t="str">
        <x:v>QA commit 5995394ef27c; environment per execution log</x:v>
      </x:c>
      <x:c r="L98" s="18" t="str">
        <x:v>Local mock/DB; synthetic local data; no real payment</x:v>
      </x:c>
      <x:c r="M98" s="18" t="str">
        <x:v>1. Read contract/source and preflight QA fixture. 2. Run DB-WEBHOOK-01. 3. Compare HTTP/state and DB read-back when applicable.</x:v>
      </x:c>
      <x:c r="N98" s="18" t="str">
        <x:v>Đạt nghiệp vụ tại commit thử nghiệm</x:v>
      </x:c>
      <x:c r="O98" s="18" t="str">
        <x:v>Không thực hiện</x:v>
      </x:c>
      <x:c r="P98" s="18" t="str">
        <x:v>QA console / Step 11 – dừng có kiểm soát</x:v>
      </x:c>
      <x:c r="Q98" s="18" t="str">
        <x:v>Not Run</x:v>
      </x:c>
      <x:c r="R98" s="18"/>
      <x:c r="S98" s="18"/>
      <x:c r="T98" s="18"/>
      <x:c r="U98" s="18"/>
      <x:c r="V98" s="18" t="str">
        <x:v>QA at merge 5995394ef27c; approval pending; Chưa có thành công webhook để xác minh</x:v>
      </x:c>
    </x:row>
    <x:row r="99" ht="56" customHeight="1">
      <x:c r="A99" s="18" t="str">
        <x:v>E2E-RES-01</x:v>
      </x:c>
      <x:c r="B99" s="18" t="str">
        <x:v>Reservation pricing snapshot → PaymentService</x:v>
      </x:c>
      <x:c r="C99" s="18" t="str">
        <x:v>Chưa ánh xạ FR chính thức; source PR #14</x:v>
      </x:c>
      <x:c r="D99" s="18" t="str">
        <x:v>N/A — yêu cầu BR chưa được đối chiếu</x:v>
      </x:c>
      <x:c r="E99" s="18" t="str">
        <x:v>Chưa đối chiếu US</x:v>
      </x:c>
      <x:c r="F99" s="18" t="str">
        <x:v>Chưa đối chiếu UC</x:v>
      </x:c>
      <x:c r="G99" s="18" t="str">
        <x:v>GET Reservation snapshot (adapter expected; endpoint not verified)</x:v>
      </x:c>
      <x:c r="H99" s="18" t="str">
        <x:v>SPARK-229 (pricing regression; verify issue mapping)</x:v>
      </x:c>
      <x:c r="I99" s="18" t="str">
        <x:v>Integration / E2E</x:v>
      </x:c>
      <x:c r="J99" s="18" t="str">
        <x:v>Medium</x:v>
      </x:c>
      <x:c r="K99" s="18" t="str">
        <x:v>PaymentService calls ReservationSnapshotHttpAdapter; ReservationService endpoint not verified; service stopped</x:v>
      </x:c>
      <x:c r="L99" s="18" t="str">
        <x:v>Reservation ↔ Payment; synthetic local data; no real payment</x:v>
      </x:c>
      <x:c r="M99" s="18" t="str">
        <x:v>1. Read contract/source and preflight QA fixture. 2. Run E2E-RES-01. 3. Compare HTTP/state and DB read-back when applicable.</x:v>
      </x:c>
      <x:c r="N99" s="18" t="str">
        <x:v>Reservation API cung cấp snapshot mà Payment adapter sử dụng</x:v>
      </x:c>
      <x:c r="O99" s="18" t="str">
        <x:v>Chưa xác minh được: không tìm thấy chuỗi pricing-snapshot trong ReservationService; service không chạy</x:v>
      </x:c>
      <x:c r="P99" s="18" t="str">
        <x:v>QA console / Step 12 / 20261027-074407</x:v>
      </x:c>
      <x:c r="Q99" s="18" t="str">
        <x:v>Blocked</x:v>
      </x:c>
      <x:c r="R99" s="18"/>
      <x:c r="S99" s="18"/>
      <x:c r="T99" s="18"/>
      <x:c r="U99" s="18"/>
      <x:c r="V99" s="18" t="str">
        <x:v>Root caller: PaymentService → ReservationService; placed in Payment workbook. QA at merge 5995394ef27c; approval pending; Thiếu chứng cứ endpoint compatibility; không khẳng định chắc chắn endpoint không tồn tại.</x:v>
      </x:c>
    </x:row>
  </x:sheetData>
  <x:conditionalFormatting sqref="Q2:Q200">
    <x:cfRule type="cellIs" dxfId="0" priority="1" operator="equal">
      <x:formula>"Pass"</x:formula>
    </x:cfRule>
    <x:cfRule type="cellIs" dxfId="1" priority="2" operator="equal">
      <x:formula>"Fail"</x:formula>
    </x:cfRule>
    <x:cfRule type="cellIs" dxfId="2" priority="3" operator="equal">
      <x:formula>"Blocked"</x:formula>
    </x:cfRule>
  </x:conditionalFormatting>
  <x:dataValidations count="1">
    <x:dataValidation type="list" sqref="Q2:Q200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7c20c621d2417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8" hidden="0" customWidth="1"/>
    <x:col min="3" max="3" width="70" hidden="0" customWidth="1"/>
  </x:cols>
  <x:sheetData>
    <x:row r="1" ht="32" customHeight="1">
      <x:c r="A1" s="5" t="str">
        <x:v>Metric</x:v>
      </x:c>
      <x:c r="B1" s="5" t="str">
        <x:v>Value</x:v>
      </x:c>
      <x:c r="C1" s="5" t="str">
        <x:v>Interpretation</x:v>
      </x:c>
    </x:row>
    <x:row r="2" ht="60" customHeight="1">
      <x:c r="A2" s="6" t="str">
        <x:v>Total cases</x:v>
      </x:c>
      <x:c r="B2" s="6" t="n">
        <x:f>COUNTA(Cases!A2:A500)</x:f>
        <x:v>98</x:v>
      </x:c>
      <x:c r="C2" s="6" t="str">
        <x:v>Cases sheet only; includes 4 UAT cases</x:v>
      </x:c>
    </x:row>
    <x:row r="3" ht="60" customHeight="1">
      <x:c r="A3" s="3" t="str">
        <x:v>Pass</x:v>
      </x:c>
      <x:c r="B3" s="3" t="n">
        <x:f>COUNTIF(Cases!Q2:Q500,"Pass")</x:f>
        <x:v>92</x:v>
      </x:c>
      <x:c r="C3" s="3" t="str">
        <x:v>All assertions proven</x:v>
      </x:c>
    </x:row>
    <x:row r="4" ht="60" customHeight="1">
      <x:c r="A4" s="6" t="str">
        <x:v>Fail</x:v>
      </x:c>
      <x:c r="B4" s="6" t="n">
        <x:f>COUNTIF(Cases!Q2:Q500,"Fail")</x:f>
        <x:v>1</x:v>
      </x:c>
      <x:c r="C4" s="6" t="str">
        <x:v>Approved expectation violated</x:v>
      </x:c>
    </x:row>
    <x:row r="5" ht="60" customHeight="1">
      <x:c r="A5" s="3" t="str">
        <x:v>Blocked</x:v>
      </x:c>
      <x:c r="B5" s="3" t="n">
        <x:f>COUNTIF(Cases!Q2:Q500,"Blocked")</x:f>
        <x:v>1</x:v>
      </x:c>
      <x:c r="C5" s="3" t="str">
        <x:v>Dependency or decision prevents verdict</x:v>
      </x:c>
    </x:row>
    <x:row r="6" ht="60" customHeight="1">
      <x:c r="A6" s="6" t="str">
        <x:v>Not Run</x:v>
      </x:c>
      <x:c r="B6" s="6" t="n">
        <x:f>COUNTIF(Cases!Q2:Q500,"Not Run")</x:f>
        <x:v>4</x:v>
      </x:c>
      <x:c r="C6" s="6" t="str">
        <x:v>No execution yet</x:v>
      </x:c>
    </x:row>
    <x:row r="7" ht="60" customHeight="1">
      <x:c r="A7" s="3" t="str">
        <x:v>N/A</x:v>
      </x:c>
      <x:c r="B7" s="3" t="n">
        <x:f>COUNTIF(Cases!Q2:Q500,"N/A")</x:f>
        <x:v>0</x:v>
      </x:c>
      <x:c r="C7" s="3" t="str">
        <x:v>Reviewer-approved non-applicability</x:v>
      </x:c>
    </x:row>
    <x:row r="8" ht="60" customHeight="1">
      <x:c r="A8" s="6" t="str">
        <x:v>Pass rate</x:v>
      </x:c>
      <x:c r="B8" s="7" t="n">
        <x:f>IF(B3+B4=0,"n/a",B3/(B3+B4))</x:f>
        <x:v>0.989247311827957</x:v>
      </x:c>
      <x:c r="C8" s="6" t="str">
        <x:v>Pass / (Pass + Fail); n/a before execution</x:v>
      </x:c>
    </x:row>
    <x:row r="9" ht="60" customHeight="1">
      <x:c r="A9" s="3" t="str">
        <x:v>Execution coverage</x:v>
      </x:c>
      <x:c r="B9" s="8" t="n">
        <x:f>IF(B2-B7=0,"n/a",(B3+B4)/(B2-B7))</x:f>
        <x:v>0.9489795918367347</x:v>
      </x:c>
      <x:c r="C9" s="3" t="str">
        <x:v>(Pass + Fail) / (Total − N/A)</x:v>
      </x:c>
    </x:row>
    <x:row r="10" ht="60" customHeight="1">
      <x:c r="A10" s="6" t="str">
        <x:v>Run / build</x:v>
      </x:c>
      <x:c r="B10" s="6" t="str">
        <x:v>PR14 merged SHA 5995394ef27c / 2026-10-27 / QA mock + local PostgreSQL</x:v>
      </x:c>
      <x:c r="C10" s="6" t="str">
        <x:v>Record code, schema, FE and environment versions</x:v>
      </x:c>
    </x:row>
    <x:row r="11" ht="60" customHeight="1">
      <x:c r="A11" s="3" t="str">
        <x:v>Evidence report</x:v>
      </x:c>
      <x:c r="B11" s="3" t="str">
        <x:v>Payment: Step 5–14 logs and redacted local QA DB checks; FE supplemental in Word</x:v>
      </x:c>
      <x:c r="C11" s="3" t="str">
        <x:v>Attach sanitized report and defect links</x:v>
      </x:c>
    </x:row>
    <x:row r="12" ht="60" customHeight="1">
      <x:c r="A12" s="6" t="str">
        <x:v>Sign-off</x:v>
      </x:c>
      <x:c r="B12" s="6" t="str">
        <x:v>HOLD — Developer triage needed; no QA signoff</x:v>
      </x:c>
      <x:c r="C12" s="6" t="str">
        <x:v>Use Adoption &amp; Signoff; this report is not acceptance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52" hidden="0" customWidth="1"/>
    <x:col min="3" max="3" width="30" hidden="0" customWidth="1"/>
    <x:col min="4" max="4" width="23" hidden="0" customWidth="1"/>
    <x:col min="5" max="5" width="64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Jira</x:v>
      </x:c>
      <x:c r="D1" s="5" t="str">
        <x:v>Execution location</x:v>
      </x:c>
      <x:c r="E1" s="5" t="str">
        <x:v>Readiness</x:v>
      </x:c>
    </x:row>
    <x:row r="2" ht="36" customHeight="1">
      <x:c r="A2" s="6" t="str">
        <x:v>UNIT-001</x:v>
      </x:c>
      <x:c r="B2" s="6" t="str">
        <x:v>Domain.PaymentStateMachineTests.CanTransition_ValidatesAllowedTransitionsCorrectly(current: PENDING, next: CANCELLED, expected: True)</x:v>
      </x:c>
      <x:c r="C2" s="6" t="str">
        <x:v>SPARK-250</x:v>
      </x:c>
      <x:c r="D2" s="6" t="str">
        <x:v>Cases row 2</x:v>
      </x:c>
      <x:c r="E2" s="6" t="str">
        <x:v>QA at merge 5995394ef27c; approval pending; Không đại diện cho môi trường PostgreSQL/payOS production. Developer-authored unit test independently exec</x:v>
      </x:c>
    </x:row>
    <x:row r="3" ht="36" customHeight="1">
      <x:c r="A3" s="3" t="str">
        <x:v>UNIT-002</x:v>
      </x:c>
      <x:c r="B3" s="3" t="str">
        <x:v>Domain.PaymentStateMachineTests.CanTransition_ValidatesAllowedTransitionsCorrectly(current: CANCELLED, next: SUCCESS, expected: False)</x:v>
      </x:c>
      <x:c r="C3" s="3" t="str">
        <x:v>SPARK-250</x:v>
      </x:c>
      <x:c r="D3" s="3" t="str">
        <x:v>Cases row 3</x:v>
      </x:c>
      <x:c r="E3" s="3" t="str">
        <x:v>QA at merge 5995394ef27c; approval pending; Không đại diện cho môi trường PostgreSQL/payOS production. Developer-authored unit test independently exec</x:v>
      </x:c>
    </x:row>
    <x:row r="4" ht="36" customHeight="1">
      <x:c r="A4" s="6" t="str">
        <x:v>UNIT-003</x:v>
      </x:c>
      <x:c r="B4" s="6" t="str">
        <x:v>Domain.PaymentStateMachineTests.CanTransition_ValidatesAllowedTransitionsCorrectly(current: SUCCESS, next: CANCELLED, expected: False)</x:v>
      </x:c>
      <x:c r="C4" s="6" t="str">
        <x:v>SPARK-250</x:v>
      </x:c>
      <x:c r="D4" s="6" t="str">
        <x:v>Cases row 4</x:v>
      </x:c>
      <x:c r="E4" s="6" t="str">
        <x:v>QA at merge 5995394ef27c; approval pending; Không đại diện cho môi trường PostgreSQL/payOS production. Developer-authored unit test independently exec</x:v>
      </x:c>
    </x:row>
    <x:row r="5" ht="36" customHeight="1">
      <x:c r="A5" s="3" t="str">
        <x:v>UNIT-004</x:v>
      </x:c>
      <x:c r="B5" s="3" t="str">
        <x:v>Domain.PaymentStateMachineTests.CanTransition_ValidatesAllowedTransitionsCorrectly(current: UNKNOWN, next: SUCCESS, expected: True)</x:v>
      </x:c>
      <x:c r="C5" s="3" t="str">
        <x:v>SPARK-250</x:v>
      </x:c>
      <x:c r="D5" s="3" t="str">
        <x:v>Cases row 5</x:v>
      </x:c>
      <x:c r="E5" s="3" t="str">
        <x:v>QA at merge 5995394ef27c; approval pending; Không đại diện cho môi trường PostgreSQL/payOS production. Developer-authored unit test independently exec</x:v>
      </x:c>
    </x:row>
    <x:row r="6" ht="36" customHeight="1">
      <x:c r="A6" s="6" t="str">
        <x:v>UNIT-005</x:v>
      </x:c>
      <x:c r="B6" s="6" t="str">
        <x:v>Domain.PaymentStateMachineTests.CanTransition_ValidatesAllowedTransitionsCorrectly(current: CANCELLED, next: PENDING, expected: False)</x:v>
      </x:c>
      <x:c r="C6" s="6" t="str">
        <x:v>SPARK-250</x:v>
      </x:c>
      <x:c r="D6" s="6" t="str">
        <x:v>Cases row 6</x:v>
      </x:c>
      <x:c r="E6" s="6" t="str">
        <x:v>QA at merge 5995394ef27c; approval pending; Không đại diện cho môi trường PostgreSQL/payOS production. Developer-authored unit test independently exec</x:v>
      </x:c>
    </x:row>
    <x:row r="7" ht="36" customHeight="1">
      <x:c r="A7" s="3" t="str">
        <x:v>UNIT-006</x:v>
      </x:c>
      <x:c r="B7" s="3" t="str">
        <x:v>Domain.PaymentStateMachineTests.CanTransition_ValidatesAllowedTransitionsCorrectly(current: FAILED, next: PENDING, expected: True)</x:v>
      </x:c>
      <x:c r="C7" s="3" t="str">
        <x:v>SPARK-250</x:v>
      </x:c>
      <x:c r="D7" s="3" t="str">
        <x:v>Cases row 7</x:v>
      </x:c>
      <x:c r="E7" s="3" t="str">
        <x:v>QA at merge 5995394ef27c; approval pending; Không đại diện cho môi trường PostgreSQL/payOS production. Developer-authored unit test independently exec</x:v>
      </x:c>
    </x:row>
    <x:row r="8" ht="36" customHeight="1">
      <x:c r="A8" s="6" t="str">
        <x:v>UNIT-007</x:v>
      </x:c>
      <x:c r="B8" s="6" t="str">
        <x:v>Domain.PaymentStateMachineTests.CanTransition_ValidatesAllowedTransitionsCorrectly(current: SUCCESS, next: PENDING, expected: False)</x:v>
      </x:c>
      <x:c r="C8" s="6" t="str">
        <x:v>SPARK-250</x:v>
      </x:c>
      <x:c r="D8" s="6" t="str">
        <x:v>Cases row 8</x:v>
      </x:c>
      <x:c r="E8" s="6" t="str">
        <x:v>QA at merge 5995394ef27c; approval pending; Không đại diện cho môi trường PostgreSQL/payOS production. Developer-authored unit test independently exec</x:v>
      </x:c>
    </x:row>
    <x:row r="9" ht="36" customHeight="1">
      <x:c r="A9" s="3" t="str">
        <x:v>UNIT-008</x:v>
      </x:c>
      <x:c r="B9" s="3" t="str">
        <x:v>Domain.PaymentStateMachineTests.CanTransition_ValidatesAllowedTransitionsCorrectly(current: UNKNOWN, next: FAILED, expected: True)</x:v>
      </x:c>
      <x:c r="C9" s="3" t="str">
        <x:v>SPARK-250</x:v>
      </x:c>
      <x:c r="D9" s="3" t="str">
        <x:v>Cases row 9</x:v>
      </x:c>
      <x:c r="E9" s="3" t="str">
        <x:v>QA at merge 5995394ef27c; approval pending; Không đại diện cho môi trường PostgreSQL/payOS production. Developer-authored unit test independently exec</x:v>
      </x:c>
    </x:row>
    <x:row r="10" ht="36" customHeight="1">
      <x:c r="A10" s="6" t="str">
        <x:v>UNIT-009</x:v>
      </x:c>
      <x:c r="B10" s="6" t="str">
        <x:v>Domain.PaymentStateMachineTests.CanTransition_ValidatesAllowedTransitionsCorrectly(current: PENDING, next: UNKNOWN, expected: True)</x:v>
      </x:c>
      <x:c r="C10" s="6" t="str">
        <x:v>SPARK-250</x:v>
      </x:c>
      <x:c r="D10" s="6" t="str">
        <x:v>Cases row 10</x:v>
      </x:c>
      <x:c r="E10" s="6" t="str">
        <x:v>QA at merge 5995394ef27c; approval pending; Không đại diện cho môi trường PostgreSQL/payOS production. Developer-authored unit test independently exec</x:v>
      </x:c>
    </x:row>
    <x:row r="11" ht="36" customHeight="1">
      <x:c r="A11" s="3" t="str">
        <x:v>UNIT-010</x:v>
      </x:c>
      <x:c r="B11" s="3" t="str">
        <x:v>Domain.PaymentStateMachineTests.CanTransition_ValidatesAllowedTransitionsCorrectly(current: PENDING, next: FAILED, expected: True)</x:v>
      </x:c>
      <x:c r="C11" s="3" t="str">
        <x:v>SPARK-250</x:v>
      </x:c>
      <x:c r="D11" s="3" t="str">
        <x:v>Cases row 11</x:v>
      </x:c>
      <x:c r="E11" s="3" t="str">
        <x:v>QA at merge 5995394ef27c; approval pending; Không đại diện cho môi trường PostgreSQL/payOS production. Developer-authored unit test independently exec</x:v>
      </x:c>
    </x:row>
    <x:row r="12" ht="36" customHeight="1">
      <x:c r="A12" s="6" t="str">
        <x:v>UNIT-011</x:v>
      </x:c>
      <x:c r="B12" s="6" t="str">
        <x:v>Domain.PaymentStateMachineTests.CanTransition_ValidatesAllowedTransitionsCorrectly(current: SUCCESS, next: FAILED, expected: False)</x:v>
      </x:c>
      <x:c r="C12" s="6" t="str">
        <x:v>SPARK-250</x:v>
      </x:c>
      <x:c r="D12" s="6" t="str">
        <x:v>Cases row 12</x:v>
      </x:c>
      <x:c r="E12" s="6" t="str">
        <x:v>QA at merge 5995394ef27c; approval pending; Không đại diện cho môi trường PostgreSQL/payOS production. Developer-authored unit test independently exec</x:v>
      </x:c>
    </x:row>
    <x:row r="13" ht="36" customHeight="1">
      <x:c r="A13" s="3" t="str">
        <x:v>UNIT-012</x:v>
      </x:c>
      <x:c r="B13" s="3" t="str">
        <x:v>Domain.PaymentStateMachineTests.CanTransition_ValidatesAllowedTransitionsCorrectly(current: PENDING, next: SUCCESS, expected: True)</x:v>
      </x:c>
      <x:c r="C13" s="3" t="str">
        <x:v>SPARK-250</x:v>
      </x:c>
      <x:c r="D13" s="3" t="str">
        <x:v>Cases row 13</x:v>
      </x:c>
      <x:c r="E13" s="3" t="str">
        <x:v>QA at merge 5995394ef27c; approval pending; Không đại diện cho môi trường PostgreSQL/payOS production. Developer-authored unit test independently exec</x:v>
      </x:c>
    </x:row>
    <x:row r="14" ht="36" customHeight="1">
      <x:c r="A14" s="6" t="str">
        <x:v>UNIT-013</x:v>
      </x:c>
      <x:c r="B14" s="6" t="str">
        <x:v>Domain.PaymentStateMachineTests.AssertTransition_ThrowsInvalidOperationException_WhenTransitionDisallowed</x:v>
      </x:c>
      <x:c r="C14" s="6" t="str">
        <x:v>SPARK-250</x:v>
      </x:c>
      <x:c r="D14" s="6" t="str">
        <x:v>Cases row 14</x:v>
      </x:c>
      <x:c r="E14" s="6" t="str">
        <x:v>QA at merge 5995394ef27c; approval pending; Không đại diện cho môi trường PostgreSQL/payOS production. Developer-authored unit test independently exec</x:v>
      </x:c>
    </x:row>
    <x:row r="15" ht="36" customHeight="1">
      <x:c r="A15" s="3" t="str">
        <x:v>UNIT-014</x:v>
      </x:c>
      <x:c r="B15" s="3" t="str">
        <x:v>Domain.PaymentStateMachineTests.IsRetryAllowed_RespectsMaxRetryLimit(retryCount: 1, expected: True)</x:v>
      </x:c>
      <x:c r="C15" s="3" t="str">
        <x:v>SPARK-250</x:v>
      </x:c>
      <x:c r="D15" s="3" t="str">
        <x:v>Cases row 15</x:v>
      </x:c>
      <x:c r="E15" s="3" t="str">
        <x:v>QA at merge 5995394ef27c; approval pending; Không đại diện cho môi trường PostgreSQL/payOS production. Developer-authored unit test independently exec</x:v>
      </x:c>
    </x:row>
    <x:row r="16" ht="36" customHeight="1">
      <x:c r="A16" s="6" t="str">
        <x:v>UNIT-015</x:v>
      </x:c>
      <x:c r="B16" s="6" t="str">
        <x:v>Domain.PaymentStateMachineTests.IsRetryAllowed_RespectsMaxRetryLimit(retryCount: 0, expected: True)</x:v>
      </x:c>
      <x:c r="C16" s="6" t="str">
        <x:v>SPARK-250</x:v>
      </x:c>
      <x:c r="D16" s="6" t="str">
        <x:v>Cases row 16</x:v>
      </x:c>
      <x:c r="E16" s="6" t="str">
        <x:v>QA at merge 5995394ef27c; approval pending; Không đại diện cho môi trường PostgreSQL/payOS production. Developer-authored unit test independently exec</x:v>
      </x:c>
    </x:row>
    <x:row r="17" ht="36" customHeight="1">
      <x:c r="A17" s="3" t="str">
        <x:v>UNIT-016</x:v>
      </x:c>
      <x:c r="B17" s="3" t="str">
        <x:v>Domain.PaymentStateMachineTests.IsRetryAllowed_RespectsMaxRetryLimit(retryCount: 4, expected: False)</x:v>
      </x:c>
      <x:c r="C17" s="3" t="str">
        <x:v>SPARK-250</x:v>
      </x:c>
      <x:c r="D17" s="3" t="str">
        <x:v>Cases row 17</x:v>
      </x:c>
      <x:c r="E17" s="3" t="str">
        <x:v>QA at merge 5995394ef27c; approval pending; Không đại diện cho môi trường PostgreSQL/payOS production. Developer-authored unit test independently exec</x:v>
      </x:c>
    </x:row>
    <x:row r="18" ht="36" customHeight="1">
      <x:c r="A18" s="6" t="str">
        <x:v>UNIT-017</x:v>
      </x:c>
      <x:c r="B18" s="6" t="str">
        <x:v>Domain.PaymentStateMachineTests.IsRetryAllowed_RespectsMaxRetryLimit(retryCount: 3, expected: False)</x:v>
      </x:c>
      <x:c r="C18" s="6" t="str">
        <x:v>SPARK-250</x:v>
      </x:c>
      <x:c r="D18" s="6" t="str">
        <x:v>Cases row 18</x:v>
      </x:c>
      <x:c r="E18" s="6" t="str">
        <x:v>QA at merge 5995394ef27c; approval pending; Không đại diện cho môi trường PostgreSQL/payOS production. Developer-authored unit test independently exec</x:v>
      </x:c>
    </x:row>
    <x:row r="19" ht="36" customHeight="1">
      <x:c r="A19" s="3" t="str">
        <x:v>UNIT-018</x:v>
      </x:c>
      <x:c r="B19" s="3" t="str">
        <x:v>Domain.PaymentStateMachineTests.IsRetryAllowed_RespectsMaxRetryLimit(retryCount: 2, expected: True)</x:v>
      </x:c>
      <x:c r="C19" s="3" t="str">
        <x:v>SPARK-250</x:v>
      </x:c>
      <x:c r="D19" s="3" t="str">
        <x:v>Cases row 19</x:v>
      </x:c>
      <x:c r="E19" s="3" t="str">
        <x:v>QA at merge 5995394ef27c; approval pending; Không đại diện cho môi trường PostgreSQL/payOS production. Developer-authored unit test independently exec</x:v>
      </x:c>
    </x:row>
    <x:row r="20" ht="36" customHeight="1">
      <x:c r="A20" s="6" t="str">
        <x:v>UNIT-019</x:v>
      </x:c>
      <x:c r="B20" s="6" t="str">
        <x:v>Domain.PaymentStateMachineTests.PaymentTransaction_MarkFailed_ThrowsIfAlreadySuccess</x:v>
      </x:c>
      <x:c r="C20" s="6" t="str">
        <x:v>SPARK-250</x:v>
      </x:c>
      <x:c r="D20" s="6" t="str">
        <x:v>Cases row 20</x:v>
      </x:c>
      <x:c r="E20" s="6" t="str">
        <x:v>QA at merge 5995394ef27c; approval pending; Không đại diện cho môi trường PostgreSQL/payOS production. Developer-authored unit test independently exec</x:v>
      </x:c>
    </x:row>
    <x:row r="21" ht="36" customHeight="1">
      <x:c r="A21" s="3" t="str">
        <x:v>UNIT-020</x:v>
      </x:c>
      <x:c r="B21" s="3" t="str">
        <x:v>Domain.ParkingPricingCalculatorTests.TC_PRICE_05_MidnightCrossing_WithRounding_ShouldRoundHalfUpAtEnd</x:v>
      </x:c>
      <x:c r="C21" s="3" t="str">
        <x:v>SPARK-229 (pricing regression; verify issue mapping)</x:v>
      </x:c>
      <x:c r="D21" s="3" t="str">
        <x:v>Cases row 21</x:v>
      </x:c>
      <x:c r="E21" s="3" t="str">
        <x:v>QA at merge 5995394ef27c; approval pending; Không đại diện cho môi trường PostgreSQL/payOS production. Developer-authored unit test independently exec</x:v>
      </x:c>
    </x:row>
    <x:row r="22" ht="36" customHeight="1">
      <x:c r="A22" s="6" t="str">
        <x:v>UNIT-021</x:v>
      </x:c>
      <x:c r="B22" s="6" t="str">
        <x:v>Domain.PaymentStateMachineTests.PaymentTransaction_MarkSuccess_SetsStatusAndDetails</x:v>
      </x:c>
      <x:c r="C22" s="6" t="str">
        <x:v>SPARK-250</x:v>
      </x:c>
      <x:c r="D22" s="6" t="str">
        <x:v>Cases row 22</x:v>
      </x:c>
      <x:c r="E22" s="6" t="str">
        <x:v>QA at merge 5995394ef27c; approval pending; Không đại diện cho môi trường PostgreSQL/payOS production. Developer-authored unit test independently exec</x:v>
      </x:c>
    </x:row>
    <x:row r="23" ht="36" customHeight="1">
      <x:c r="A23" s="3" t="str">
        <x:v>UNIT-022</x:v>
      </x:c>
      <x:c r="B23" s="3" t="str">
        <x:v>Domain.PaymentStateMachineTests.PaymentOrder_MarkPaid_UpdatesStatusAndTimestamp</x:v>
      </x:c>
      <x:c r="C23" s="3" t="str">
        <x:v>SPARK-250</x:v>
      </x:c>
      <x:c r="D23" s="3" t="str">
        <x:v>Cases row 23</x:v>
      </x:c>
      <x:c r="E23" s="3" t="str">
        <x:v>QA at merge 5995394ef27c; approval pending; Không đại diện cho môi trường PostgreSQL/payOS production. Developer-authored unit test independently exec</x:v>
      </x:c>
    </x:row>
    <x:row r="24" ht="36" customHeight="1">
      <x:c r="A24" s="6" t="str">
        <x:v>UNIT-023</x:v>
      </x:c>
      <x:c r="B24" s="6" t="str">
        <x:v>Domain.PaymentStateMachineTests.AssertTransition_Succeeds_WhenTransitionAllowed</x:v>
      </x:c>
      <x:c r="C24" s="6" t="str">
        <x:v>SPARK-250</x:v>
      </x:c>
      <x:c r="D24" s="6" t="str">
        <x:v>Cases row 24</x:v>
      </x:c>
      <x:c r="E24" s="6" t="str">
        <x:v>QA at merge 5995394ef27c; approval pending; Không đại diện cho môi trường PostgreSQL/payOS production. Developer-authored unit test independently exec</x:v>
      </x:c>
    </x:row>
    <x:row r="25" ht="36" customHeight="1">
      <x:c r="A25" s="3" t="str">
        <x:v>UNIT-024</x:v>
      </x:c>
      <x:c r="B25" s="3" t="str">
        <x:v>Application.CalculateParkingFeeQueryHandlerTests.Handle_WithPolicyOverride_UsesOverrideWithoutCallingPorts</x:v>
      </x:c>
      <x:c r="C25" s="3" t="str">
        <x:v>SPARK-229 (pricing regression; verify issue mapping)</x:v>
      </x:c>
      <x:c r="D25" s="3" t="str">
        <x:v>Cases row 25</x:v>
      </x:c>
      <x:c r="E25" s="3" t="str">
        <x:v>QA at merge 5995394ef27c; approval pending; Không đại diện cho môi trường PostgreSQL/payOS production. Developer-authored unit test independently exec</x:v>
      </x:c>
    </x:row>
    <x:row r="26" ht="36" customHeight="1">
      <x:c r="A26" s="6" t="str">
        <x:v>UNIT-025</x:v>
      </x:c>
      <x:c r="B26" s="6" t="str">
        <x:v>Application.CalculateParkingFeeQueryHandlerTests.Handle_WithValidReservationId_UsesSnapshotFromPort</x:v>
      </x:c>
      <x:c r="C26" s="6" t="str">
        <x:v>SPARK-229 (pricing regression; verify issue mapping)</x:v>
      </x:c>
      <x:c r="D26" s="6" t="str">
        <x:v>Cases row 26</x:v>
      </x:c>
      <x:c r="E26" s="6" t="str">
        <x:v>QA at merge 5995394ef27c; approval pending; Không đại diện cho môi trường PostgreSQL/payOS production. Developer-authored unit test independently exec</x:v>
      </x:c>
    </x:row>
    <x:row r="27" ht="36" customHeight="1">
      <x:c r="A27" s="3" t="str">
        <x:v>UNIT-026</x:v>
      </x:c>
      <x:c r="B27" s="3" t="str">
        <x:v>Application.CalculateParkingFeeQueryHandlerTests.Handle_WithCorruptedOrMissingReservationSnapshot_ThrowsCorruptedPolicySnapshotException_AndNeverCallsTariffPort</x:v>
      </x:c>
      <x:c r="C27" s="3" t="str">
        <x:v>SPARK-229 (pricing regression; verify issue mapping)</x:v>
      </x:c>
      <x:c r="D27" s="3" t="str">
        <x:v>Cases row 27</x:v>
      </x:c>
      <x:c r="E27" s="3" t="str">
        <x:v>QA at merge 5995394ef27c; approval pending; Không đại diện cho môi trường PostgreSQL/payOS production. Developer-authored unit test independently exec</x:v>
      </x:c>
    </x:row>
    <x:row r="28" ht="36" customHeight="1">
      <x:c r="A28" s="6" t="str">
        <x:v>UNIT-027</x:v>
      </x:c>
      <x:c r="B28" s="6" t="str">
        <x:v>Application.CalculateParkingFeeQueryHandlerTests.Handle_WalkInWithActiveTariff_CalculatesSuccessfully</x:v>
      </x:c>
      <x:c r="C28" s="6" t="str">
        <x:v>SPARK-229 (pricing regression; verify issue mapping)</x:v>
      </x:c>
      <x:c r="D28" s="6" t="str">
        <x:v>Cases row 28</x:v>
      </x:c>
      <x:c r="E28" s="6" t="str">
        <x:v>QA at merge 5995394ef27c; approval pending; Không đại diện cho môi trường PostgreSQL/payOS production. Developer-authored unit test independently exec</x:v>
      </x:c>
    </x:row>
    <x:row r="29" ht="36" customHeight="1">
      <x:c r="A29" s="3" t="str">
        <x:v>UNIT-028</x:v>
      </x:c>
      <x:c r="B29" s="3" t="str">
        <x:v>Application.CalculateParkingFeeQueryHandlerTests.Handle_WalkInWithNoActiveTariff_ThrowsTariffNotFoundException</x:v>
      </x:c>
      <x:c r="C29" s="3" t="str">
        <x:v>SPARK-229 (pricing regression; verify issue mapping)</x:v>
      </x:c>
      <x:c r="D29" s="3" t="str">
        <x:v>Cases row 29</x:v>
      </x:c>
      <x:c r="E29" s="3" t="str">
        <x:v>QA at merge 5995394ef27c; approval pending; Không đại diện cho môi trường PostgreSQL/payOS production. Developer-authored unit test independently exec</x:v>
      </x:c>
    </x:row>
    <x:row r="30" ht="36" customHeight="1">
      <x:c r="A30" s="6" t="str">
        <x:v>UNIT-029</x:v>
      </x:c>
      <x:c r="B30" s="6" t="str">
        <x:v>Application.InitiatePaymentCheckoutCommandHandlerTests.Handle_OrderExpired_ThrowsPaymentDomainException</x:v>
      </x:c>
      <x:c r="C30" s="6" t="str">
        <x:v>SPARK-250</x:v>
      </x:c>
      <x:c r="D30" s="6" t="str">
        <x:v>Cases row 30</x:v>
      </x:c>
      <x:c r="E30" s="6" t="str">
        <x:v>QA at merge 5995394ef27c; approval pending; Không đại diện cho môi trường PostgreSQL/payOS production. Developer-authored unit test independently exec</x:v>
      </x:c>
    </x:row>
    <x:row r="31" ht="36" customHeight="1">
      <x:c r="A31" s="18" t="str">
        <x:v>UNIT-030</x:v>
      </x:c>
      <x:c r="B31" s="18" t="str">
        <x:v>Application.GetPaymentStatusQueryHandlerTests.Handle_TransactionNotFound_ThrowsPaymentDomainException</x:v>
      </x:c>
      <x:c r="C31" s="18" t="str">
        <x:v>SPARK-250</x:v>
      </x:c>
      <x:c r="D31" s="18" t="str">
        <x:v>Cases row 31</x:v>
      </x:c>
      <x:c r="E31" s="18" t="str">
        <x:v>QA at merge 5995394ef27c; approval pending; Không đại diện cho môi trường PostgreSQL/payOS production. Developer-authored unit test independently exec</x:v>
      </x:c>
    </x:row>
    <x:row r="32" ht="36" customHeight="1">
      <x:c r="A32" s="18" t="str">
        <x:v>UNIT-031</x:v>
      </x:c>
      <x:c r="B32" s="18" t="str">
        <x:v>Application.GetPaymentStatusQueryHandlerTests.Handle_TransactionAlreadySuccess_ReturnsAuthoritativeWithoutReconciliation</x:v>
      </x:c>
      <x:c r="C32" s="18" t="str">
        <x:v>SPARK-250</x:v>
      </x:c>
      <x:c r="D32" s="18" t="str">
        <x:v>Cases row 32</x:v>
      </x:c>
      <x:c r="E32" s="18" t="str">
        <x:v>QA at merge 5995394ef27c; approval pending; Không đại diện cho môi trường PostgreSQL/payOS production. Developer-authored unit test independently exec</x:v>
      </x:c>
    </x:row>
    <x:row r="33" ht="36" customHeight="1">
      <x:c r="A33" s="18" t="str">
        <x:v>UNIT-032</x:v>
      </x:c>
      <x:c r="B33" s="18" t="str">
        <x:v>Application.ProcessPayOsWebhookCommandHandlerTests.Handle_ValidWebhook_UpdatesOrderAndTransactionToPaid</x:v>
      </x:c>
      <x:c r="C33" s="18" t="str">
        <x:v>SPARK-250</x:v>
      </x:c>
      <x:c r="D33" s="18" t="str">
        <x:v>Cases row 33</x:v>
      </x:c>
      <x:c r="E33" s="18" t="str">
        <x:v>QA at merge 5995394ef27c; approval pending; Không đại diện cho môi trường PostgreSQL/payOS production. Developer-authored unit test independently exec</x:v>
      </x:c>
    </x:row>
    <x:row r="34" ht="36" customHeight="1">
      <x:c r="A34" s="18" t="str">
        <x:v>UNIT-033</x:v>
      </x:c>
      <x:c r="B34" s="18" t="str">
        <x:v>Application.GetPaymentStatusQueryHandlerTests.Handle_PendingTransaction_ReconcilesWithGateway</x:v>
      </x:c>
      <x:c r="C34" s="18" t="str">
        <x:v>SPARK-250</x:v>
      </x:c>
      <x:c r="D34" s="18" t="str">
        <x:v>Cases row 34</x:v>
      </x:c>
      <x:c r="E34" s="18" t="str">
        <x:v>QA at merge 5995394ef27c; approval pending; Không đại diện cho môi trường PostgreSQL/payOS production. Developer-authored unit test independently exec</x:v>
      </x:c>
    </x:row>
    <x:row r="35" ht="36" customHeight="1">
      <x:c r="A35" s="18" t="str">
        <x:v>UNIT-034</x:v>
      </x:c>
      <x:c r="B35" s="18" t="str">
        <x:v>Application.InitiatePaymentCheckoutCommandHandlerTests.Handle_Success_CallsGatewayAndCreatesTransaction</x:v>
      </x:c>
      <x:c r="C35" s="18" t="str">
        <x:v>SPARK-250</x:v>
      </x:c>
      <x:c r="D35" s="18" t="str">
        <x:v>Cases row 35</x:v>
      </x:c>
      <x:c r="E35" s="18" t="str">
        <x:v>QA at merge 5995394ef27c; approval pending; Không đại diện cho môi trường PostgreSQL/payOS production. Developer-authored unit test independently exec</x:v>
      </x:c>
    </x:row>
    <x:row r="36" ht="36" customHeight="1">
      <x:c r="A36" s="18" t="str">
        <x:v>UNIT-035</x:v>
      </x:c>
      <x:c r="B36" s="18" t="str">
        <x:v>Application.InitiatePaymentCheckoutCommandHandlerTests.Handle_IdempotencyReplay_ReturnsExistingPendingTransaction</x:v>
      </x:c>
      <x:c r="C36" s="18" t="str">
        <x:v>SPARK-250</x:v>
      </x:c>
      <x:c r="D36" s="18" t="str">
        <x:v>Cases row 36</x:v>
      </x:c>
      <x:c r="E36" s="18" t="str">
        <x:v>QA at merge 5995394ef27c; approval pending; Không đại diện cho môi trường PostgreSQL/payOS production. Developer-authored unit test independently exec</x:v>
      </x:c>
    </x:row>
    <x:row r="37" ht="36" customHeight="1">
      <x:c r="A37" s="18" t="str">
        <x:v>UNIT-036</x:v>
      </x:c>
      <x:c r="B37" s="18" t="str">
        <x:v>Application.InitiatePaymentCheckoutCommandHandlerTests.Handle_OrderNotFound_ThrowsPaymentDomainException</x:v>
      </x:c>
      <x:c r="C37" s="18" t="str">
        <x:v>SPARK-250</x:v>
      </x:c>
      <x:c r="D37" s="18" t="str">
        <x:v>Cases row 37</x:v>
      </x:c>
      <x:c r="E37" s="18" t="str">
        <x:v>QA at merge 5995394ef27c; approval pending; Không đại diện cho môi trường PostgreSQL/payOS production. Developer-authored unit test independently exec</x:v>
      </x:c>
    </x:row>
    <x:row r="38" ht="36" customHeight="1">
      <x:c r="A38" s="18" t="str">
        <x:v>UNIT-037</x:v>
      </x:c>
      <x:c r="B38" s="18" t="str">
        <x:v>Application.InitiatePaymentCheckoutCommandHandlerTests.Handle_OrderAlreadyPaid_ThrowsPaymentDomainException</x:v>
      </x:c>
      <x:c r="C38" s="18" t="str">
        <x:v>SPARK-250</x:v>
      </x:c>
      <x:c r="D38" s="18" t="str">
        <x:v>Cases row 38</x:v>
      </x:c>
      <x:c r="E38" s="18" t="str">
        <x:v>QA at merge 5995394ef27c; approval pending; Không đại diện cho môi trường PostgreSQL/payOS production. Developer-authored unit test independently exec</x:v>
      </x:c>
    </x:row>
    <x:row r="39" ht="36" customHeight="1">
      <x:c r="A39" s="18" t="str">
        <x:v>UNIT-038</x:v>
      </x:c>
      <x:c r="B39" s="18" t="str">
        <x:v>Infrastructure.PayOsAdapterTests.VerifyAndParseWebhookAsync_ValidSignature_ReturnsSuccess</x:v>
      </x:c>
      <x:c r="C39" s="18" t="str">
        <x:v>SPARK-250</x:v>
      </x:c>
      <x:c r="D39" s="18" t="str">
        <x:v>Cases row 39</x:v>
      </x:c>
      <x:c r="E39" s="18" t="str">
        <x:v>QA at merge 5995394ef27c; approval pending; Không đại diện cho môi trường PostgreSQL/payOS production. Developer-authored unit test independently exec</x:v>
      </x:c>
    </x:row>
    <x:row r="40" ht="36" customHeight="1">
      <x:c r="A40" s="18" t="str">
        <x:v>UNIT-039</x:v>
      </x:c>
      <x:c r="B40" s="18" t="str">
        <x:v>Application.ProcessPayOsWebhookCommandHandlerTests.Handle_DuplicateWebhook_ReturnsSuccessWithoutReProcessing</x:v>
      </x:c>
      <x:c r="C40" s="18" t="str">
        <x:v>SPARK-250</x:v>
      </x:c>
      <x:c r="D40" s="18" t="str">
        <x:v>Cases row 40</x:v>
      </x:c>
      <x:c r="E40" s="18" t="str">
        <x:v>QA at merge 5995394ef27c; approval pending; Không đại diện cho môi trường PostgreSQL/payOS production. Developer-authored unit test independently exec</x:v>
      </x:c>
    </x:row>
    <x:row r="41" ht="36" customHeight="1">
      <x:c r="A41" s="18" t="str">
        <x:v>UNIT-040</x:v>
      </x:c>
      <x:c r="B41" s="18" t="str">
        <x:v>Application.ProcessPayOsWebhookCommandHandlerTests.Handle_InvalidSignature_ReturnsFailure</x:v>
      </x:c>
      <x:c r="C41" s="18" t="str">
        <x:v>SPARK-250</x:v>
      </x:c>
      <x:c r="D41" s="18" t="str">
        <x:v>Cases row 41</x:v>
      </x:c>
      <x:c r="E41" s="18" t="str">
        <x:v>QA at merge 5995394ef27c; approval pending; Không đại diện cho môi trường PostgreSQL/payOS production. Developer-authored unit test independently exec</x:v>
      </x:c>
    </x:row>
    <x:row r="42" ht="36" customHeight="1">
      <x:c r="A42" s="18" t="str">
        <x:v>UNIT-041</x:v>
      </x:c>
      <x:c r="B42" s="18" t="str">
        <x:v>Infrastructure.PayOsAdapterTests.PayOsSignatureService_ComputesAndVerifiesSignatureCorrectly</x:v>
      </x:c>
      <x:c r="C42" s="18" t="str">
        <x:v>SPARK-250</x:v>
      </x:c>
      <x:c r="D42" s="18" t="str">
        <x:v>Cases row 42</x:v>
      </x:c>
      <x:c r="E42" s="18" t="str">
        <x:v>QA at merge 5995394ef27c; approval pending; Không đại diện cho môi trường PostgreSQL/payOS production. Developer-authored unit test independently exec</x:v>
      </x:c>
    </x:row>
    <x:row r="43" ht="36" customHeight="1">
      <x:c r="A43" s="18" t="str">
        <x:v>UNIT-042</x:v>
      </x:c>
      <x:c r="B43" s="18" t="str">
        <x:v>Infrastructure.PayOsAdapterTests.PayOsSignatureService_CreateCheckoutSignature_MatchesExpectedKeysOrder</x:v>
      </x:c>
      <x:c r="C43" s="18" t="str">
        <x:v>SPARK-250</x:v>
      </x:c>
      <x:c r="D43" s="18" t="str">
        <x:v>Cases row 43</x:v>
      </x:c>
      <x:c r="E43" s="18" t="str">
        <x:v>QA at merge 5995394ef27c; approval pending; Không đại diện cho môi trường PostgreSQL/payOS production. Developer-authored unit test independently exec</x:v>
      </x:c>
    </x:row>
    <x:row r="44" ht="36" customHeight="1">
      <x:c r="A44" s="18" t="str">
        <x:v>UNIT-043</x:v>
      </x:c>
      <x:c r="B44" s="18" t="str">
        <x:v>Infrastructure.PayOsAdapterTests.InitiatePaymentAsync_SandboxFallback_ReturnsMockUrlsAndQr</x:v>
      </x:c>
      <x:c r="C44" s="18" t="str">
        <x:v>SPARK-250</x:v>
      </x:c>
      <x:c r="D44" s="18" t="str">
        <x:v>Cases row 44</x:v>
      </x:c>
      <x:c r="E44" s="18" t="str">
        <x:v>QA at merge 5995394ef27c; approval pending; Không đại diện cho môi trường PostgreSQL/payOS production. Developer-authored unit test independently exec</x:v>
      </x:c>
    </x:row>
    <x:row r="45" ht="36" customHeight="1">
      <x:c r="A45" s="18" t="str">
        <x:v>UNIT-044</x:v>
      </x:c>
      <x:c r="B45" s="18" t="str">
        <x:v>Infrastructure.PayOsAdapterTests.VerifyAndParseWebhookAsync_TamperedSignature_ReturnsInvalidSignature</x:v>
      </x:c>
      <x:c r="C45" s="18" t="str">
        <x:v>SPARK-250</x:v>
      </x:c>
      <x:c r="D45" s="18" t="str">
        <x:v>Cases row 45</x:v>
      </x:c>
      <x:c r="E45" s="18" t="str">
        <x:v>QA at merge 5995394ef27c; approval pending; Không đại diện cho môi trường PostgreSQL/payOS production. Developer-authored unit test independently exec</x:v>
      </x:c>
    </x:row>
    <x:row r="46" ht="36" customHeight="1">
      <x:c r="A46" s="18" t="str">
        <x:v>UNIT-045</x:v>
      </x:c>
      <x:c r="B46" s="18" t="str">
        <x:v>Domain.ParkingPricingCalculatorTests.TC_PRICE_13_ToSnapshotJson_ContainsRequiredFieldsAndExcludesUnintendedData</x:v>
      </x:c>
      <x:c r="C46" s="18" t="str">
        <x:v>SPARK-229 (pricing regression; verify issue mapping)</x:v>
      </x:c>
      <x:c r="D46" s="18" t="str">
        <x:v>Cases row 46</x:v>
      </x:c>
      <x:c r="E46" s="18" t="str">
        <x:v>QA at merge 5995394ef27c; approval pending; Không đại diện cho môi trường PostgreSQL/payOS production. Developer-authored unit test independently exec</x:v>
      </x:c>
    </x:row>
    <x:row r="47" ht="36" customHeight="1">
      <x:c r="A47" s="18" t="str">
        <x:v>UNIT-046</x:v>
      </x:c>
      <x:c r="B47" s="18" t="str">
        <x:v>Domain.ParkingPricingCalculatorTests.TC_PRICE_06_MultiDayStay_Over48Hours_ShouldCalculateAllDays</x:v>
      </x:c>
      <x:c r="C47" s="18" t="str">
        <x:v>SPARK-229 (pricing regression; verify issue mapping)</x:v>
      </x:c>
      <x:c r="D47" s="18" t="str">
        <x:v>Cases row 47</x:v>
      </x:c>
      <x:c r="E47" s="18" t="str">
        <x:v>QA at merge 5995394ef27c; approval pending; Không đại diện cho môi trường PostgreSQL/payOS production. Developer-authored unit test independently exec</x:v>
      </x:c>
    </x:row>
    <x:row r="48" ht="36" customHeight="1">
      <x:c r="A48" s="18" t="str">
        <x:v>UNIT-047</x:v>
      </x:c>
      <x:c r="B48" s="18" t="str">
        <x:v>Domain.ParkingPricingCalculatorTests.TC_PRICE_08_RoundingMode_CEILING_WHOLE_VND(unrounded: 12, expected: 12)</x:v>
      </x:c>
      <x:c r="C48" s="18" t="str">
        <x:v>SPARK-229 (pricing regression; verify issue mapping)</x:v>
      </x:c>
      <x:c r="D48" s="18" t="str">
        <x:v>Cases row 48</x:v>
      </x:c>
      <x:c r="E48" s="18" t="str">
        <x:v>QA at merge 5995394ef27c; approval pending; Không đại diện cho môi trường PostgreSQL/payOS production. Developer-authored unit test independently exec</x:v>
      </x:c>
    </x:row>
    <x:row r="49" ht="36" customHeight="1">
      <x:c r="A49" s="18" t="str">
        <x:v>UNIT-048</x:v>
      </x:c>
      <x:c r="B49" s="18" t="str">
        <x:v>Domain.ParkingPricingCalculatorTests.TC_PRICE_08_RoundingMode_CEILING_WHOLE_VND(unrounded: 12.1, expected: 13)</x:v>
      </x:c>
      <x:c r="C49" s="18" t="str">
        <x:v>SPARK-229 (pricing regression; verify issue mapping)</x:v>
      </x:c>
      <x:c r="D49" s="18" t="str">
        <x:v>Cases row 49</x:v>
      </x:c>
      <x:c r="E49" s="18" t="str">
        <x:v>QA at merge 5995394ef27c; approval pending; Không đại diện cho môi trường PostgreSQL/payOS production. Developer-authored unit test independently exec</x:v>
      </x:c>
    </x:row>
    <x:row r="50" ht="36" customHeight="1">
      <x:c r="A50" s="18" t="str">
        <x:v>UNIT-049</x:v>
      </x:c>
      <x:c r="B50" s="18" t="str">
        <x:v>Domain.ParkingPricingCalculatorTests.TC_PRICE_08_RoundingMode_CEILING_WHOLE_VND(unrounded: 12.9, expected: 13)</x:v>
      </x:c>
      <x:c r="C50" s="18" t="str">
        <x:v>SPARK-229 (pricing regression; verify issue mapping)</x:v>
      </x:c>
      <x:c r="D50" s="18" t="str">
        <x:v>Cases row 50</x:v>
      </x:c>
      <x:c r="E50" s="18" t="str">
        <x:v>QA at merge 5995394ef27c; approval pending; Không đại diện cho môi trường PostgreSQL/payOS production. Developer-authored unit test independently exec</x:v>
      </x:c>
    </x:row>
    <x:row r="51" ht="36" customHeight="1">
      <x:c r="A51" s="18" t="str">
        <x:v>UNIT-050</x:v>
      </x:c>
      <x:c r="B51" s="18" t="str">
        <x:v>Domain.ParkingPricingCalculatorTests.TC_PRICE_07_RoundingMode_HALF_UP_WHOLE_VND(unrounded: 12.6, expected: 13)</x:v>
      </x:c>
      <x:c r="C51" s="18" t="str">
        <x:v>SPARK-229 (pricing regression; verify issue mapping)</x:v>
      </x:c>
      <x:c r="D51" s="18" t="str">
        <x:v>Cases row 51</x:v>
      </x:c>
      <x:c r="E51" s="18" t="str">
        <x:v>QA at merge 5995394ef27c; approval pending; Không đại diện cho môi trường PostgreSQL/payOS production. Developer-authored unit test independently exec</x:v>
      </x:c>
    </x:row>
    <x:row r="52" ht="36" customHeight="1">
      <x:c r="A52" s="18" t="str">
        <x:v>UNIT-051</x:v>
      </x:c>
      <x:c r="B52" s="18" t="str">
        <x:v>Domain.ParkingPricingCalculatorTests.TC_PRICE_07_RoundingMode_HALF_UP_WHOLE_VND(unrounded: 12.4, expected: 12)</x:v>
      </x:c>
      <x:c r="C52" s="18" t="str">
        <x:v>SPARK-229 (pricing regression; verify issue mapping)</x:v>
      </x:c>
      <x:c r="D52" s="18" t="str">
        <x:v>Cases row 52</x:v>
      </x:c>
      <x:c r="E52" s="18" t="str">
        <x:v>QA at merge 5995394ef27c; approval pending; Không đại diện cho môi trường PostgreSQL/payOS production. Developer-authored unit test independently exec</x:v>
      </x:c>
    </x:row>
    <x:row r="53" ht="36" customHeight="1">
      <x:c r="A53" s="18" t="str">
        <x:v>UNIT-052</x:v>
      </x:c>
      <x:c r="B53" s="18" t="str">
        <x:v>Domain.ParkingPricingCalculatorTests.TC_PRICE_07_RoundingMode_HALF_UP_WHOLE_VND(unrounded: 12.5, expected: 13)</x:v>
      </x:c>
      <x:c r="C53" s="18" t="str">
        <x:v>SPARK-229 (pricing regression; verify issue mapping)</x:v>
      </x:c>
      <x:c r="D53" s="18" t="str">
        <x:v>Cases row 53</x:v>
      </x:c>
      <x:c r="E53" s="18" t="str">
        <x:v>QA at merge 5995394ef27c; approval pending; Không đại diện cho môi trường PostgreSQL/payOS production. Developer-authored unit test independently exec</x:v>
      </x:c>
    </x:row>
    <x:row r="54" ht="36" customHeight="1">
      <x:c r="A54" s="18" t="str">
        <x:v>UNIT-053</x:v>
      </x:c>
      <x:c r="B54" s="18" t="str">
        <x:v>Domain.ParkingPricingCalculatorTests.TC_PRICE_03_StandardDaytime_ShouldChargeAccurately</x:v>
      </x:c>
      <x:c r="C54" s="18" t="str">
        <x:v>SPARK-229 (pricing regression; verify issue mapping)</x:v>
      </x:c>
      <x:c r="D54" s="18" t="str">
        <x:v>Cases row 54</x:v>
      </x:c>
      <x:c r="E54" s="18" t="str">
        <x:v>QA at merge 5995394ef27c; approval pending; Không đại diện cho môi trường PostgreSQL/payOS production. Developer-authored unit test independently exec</x:v>
      </x:c>
    </x:row>
    <x:row r="55" ht="36" customHeight="1">
      <x:c r="A55" s="18" t="str">
        <x:v>UNIT-054</x:v>
      </x:c>
      <x:c r="B55" s="18" t="str">
        <x:v>Domain.ParkingPricingCalculatorTests.TC_PRICE_14_VehicleTypeMismatch_ThrowsPricingDomainException</x:v>
      </x:c>
      <x:c r="C55" s="18" t="str">
        <x:v>SPARK-229 (pricing regression; verify issue mapping)</x:v>
      </x:c>
      <x:c r="D55" s="18" t="str">
        <x:v>Cases row 55</x:v>
      </x:c>
      <x:c r="E55" s="18" t="str">
        <x:v>QA at merge 5995394ef27c; approval pending; Không đại diện cho môi trường PostgreSQL/payOS production. Developer-authored unit test independently exec</x:v>
      </x:c>
    </x:row>
    <x:row r="56" ht="36" customHeight="1">
      <x:c r="A56" s="18" t="str">
        <x:v>UNIT-055</x:v>
      </x:c>
      <x:c r="B56" s="18" t="str">
        <x:v>Domain.ParkingPricingCalculatorTests.TC_PRICE_10_RoundingMode_CEILING_THOUSAND(unrounded: 1001, expected: 2000)</x:v>
      </x:c>
      <x:c r="C56" s="18" t="str">
        <x:v>SPARK-229 (pricing regression; verify issue mapping)</x:v>
      </x:c>
      <x:c r="D56" s="18" t="str">
        <x:v>Cases row 56</x:v>
      </x:c>
      <x:c r="E56" s="18" t="str">
        <x:v>QA at merge 5995394ef27c; approval pending; Không đại diện cho môi trường PostgreSQL/payOS production. Developer-authored unit test independently exec</x:v>
      </x:c>
    </x:row>
    <x:row r="57" ht="36" customHeight="1">
      <x:c r="A57" s="18" t="str">
        <x:v>UNIT-056</x:v>
      </x:c>
      <x:c r="B57" s="18" t="str">
        <x:v>Domain.ParkingPricingCalculatorTests.TC_PRICE_10_RoundingMode_CEILING_THOUSAND(unrounded: 1999, expected: 2000)</x:v>
      </x:c>
      <x:c r="C57" s="18" t="str">
        <x:v>SPARK-229 (pricing regression; verify issue mapping)</x:v>
      </x:c>
      <x:c r="D57" s="18" t="str">
        <x:v>Cases row 57</x:v>
      </x:c>
      <x:c r="E57" s="18" t="str">
        <x:v>QA at merge 5995394ef27c; approval pending; Không đại diện cho môi trường PostgreSQL/payOS production. Developer-authored unit test independently exec</x:v>
      </x:c>
    </x:row>
    <x:row r="58" ht="36" customHeight="1">
      <x:c r="A58" s="18" t="str">
        <x:v>UNIT-057</x:v>
      </x:c>
      <x:c r="B58" s="18" t="str">
        <x:v>Domain.ParkingPricingCalculatorTests.TC_PRICE_10_RoundingMode_CEILING_THOUSAND(unrounded: 1000, expected: 1000)</x:v>
      </x:c>
      <x:c r="C58" s="18" t="str">
        <x:v>SPARK-229 (pricing regression; verify issue mapping)</x:v>
      </x:c>
      <x:c r="D58" s="18" t="str">
        <x:v>Cases row 58</x:v>
      </x:c>
      <x:c r="E58" s="18" t="str">
        <x:v>QA at merge 5995394ef27c; approval pending; Không đại diện cho môi trường PostgreSQL/payOS production. Developer-authored unit test independently exec</x:v>
      </x:c>
    </x:row>
    <x:row r="59" ht="36" customHeight="1">
      <x:c r="A59" s="18" t="str">
        <x:v>UNIT-058</x:v>
      </x:c>
      <x:c r="B59" s="18" t="str">
        <x:v>Domain.ParkingPricingCalculatorTests.TC_PRICE_02_ExactGracePeriod_ShouldBeFree</x:v>
      </x:c>
      <x:c r="C59" s="18" t="str">
        <x:v>SPARK-229 (pricing regression; verify issue mapping)</x:v>
      </x:c>
      <x:c r="D59" s="18" t="str">
        <x:v>Cases row 59</x:v>
      </x:c>
      <x:c r="E59" s="18" t="str">
        <x:v>QA at merge 5995394ef27c; approval pending; Không đại diện cho môi trường PostgreSQL/payOS production. Developer-authored unit test independently exec</x:v>
      </x:c>
    </x:row>
    <x:row r="60" ht="36" customHeight="1">
      <x:c r="A60" s="18" t="str">
        <x:v>UNIT-059</x:v>
      </x:c>
      <x:c r="B60" s="18" t="str">
        <x:v>Domain.ParkingPricingCalculatorTests.TC_PRICE_12_InvalidTimeRange_ThrowsPricingDomainException</x:v>
      </x:c>
      <x:c r="C60" s="18" t="str">
        <x:v>SPARK-229 (pricing regression; verify issue mapping)</x:v>
      </x:c>
      <x:c r="D60" s="18" t="str">
        <x:v>Cases row 60</x:v>
      </x:c>
      <x:c r="E60" s="18" t="str">
        <x:v>QA at merge 5995394ef27c; approval pending; Không đại diện cho môi trường PostgreSQL/payOS production. Developer-authored unit test independently exec</x:v>
      </x:c>
    </x:row>
    <x:row r="61" ht="36" customHeight="1">
      <x:c r="A61" s="18" t="str">
        <x:v>UNIT-060</x:v>
      </x:c>
      <x:c r="B61" s="18" t="str">
        <x:v>Domain.ParkingPricingCalculatorTests.TC_PRICE_04_DayAndEveningBoundaryCrossing_ShouldSplitAndSum</x:v>
      </x:c>
      <x:c r="C61" s="18" t="str">
        <x:v>SPARK-229 (pricing regression; verify issue mapping)</x:v>
      </x:c>
      <x:c r="D61" s="18" t="str">
        <x:v>Cases row 61</x:v>
      </x:c>
      <x:c r="E61" s="18" t="str">
        <x:v>QA at merge 5995394ef27c; approval pending; Không đại diện cho môi trường PostgreSQL/payOS production. Developer-authored unit test independently exec</x:v>
      </x:c>
    </x:row>
    <x:row r="62" ht="36" customHeight="1">
      <x:c r="A62" s="18" t="str">
        <x:v>UNIT-061</x:v>
      </x:c>
      <x:c r="B62" s="18" t="str">
        <x:v>Domain.ParkingPricingCalculatorTests.TC_PRICE_11_ZeroMinutesParked_EntryEqualsExit_ShouldBeZeroFee</x:v>
      </x:c>
      <x:c r="C62" s="18" t="str">
        <x:v>SPARK-229 (pricing regression; verify issue mapping)</x:v>
      </x:c>
      <x:c r="D62" s="18" t="str">
        <x:v>Cases row 62</x:v>
      </x:c>
      <x:c r="E62" s="18" t="str">
        <x:v>QA at merge 5995394ef27c; approval pending; Không đại diện cho môi trường PostgreSQL/payOS production. Developer-authored unit test independently exec</x:v>
      </x:c>
    </x:row>
    <x:row r="63" ht="36" customHeight="1">
      <x:c r="A63" s="18" t="str">
        <x:v>UNIT-062</x:v>
      </x:c>
      <x:c r="B63" s="18" t="str">
        <x:v>Domain.ParkingPricingCalculatorTests.TC_PRICE_09_RoundingMode_HALF_UP_THOUSAND(unrounded: 1500, expected: 2000)</x:v>
      </x:c>
      <x:c r="C63" s="18" t="str">
        <x:v>SPARK-229 (pricing regression; verify issue mapping)</x:v>
      </x:c>
      <x:c r="D63" s="18" t="str">
        <x:v>Cases row 63</x:v>
      </x:c>
      <x:c r="E63" s="18" t="str">
        <x:v>QA at merge 5995394ef27c; approval pending; Không đại diện cho môi trường PostgreSQL/payOS production. Developer-authored unit test independently exec</x:v>
      </x:c>
    </x:row>
    <x:row r="64" ht="36" customHeight="1">
      <x:c r="A64" s="18" t="str">
        <x:v>UNIT-063</x:v>
      </x:c>
      <x:c r="B64" s="18" t="str">
        <x:v>Domain.ParkingPricingCalculatorTests.TC_PRICE_09_RoundingMode_HALF_UP_THOUSAND(unrounded: 1501, expected: 2000)</x:v>
      </x:c>
      <x:c r="C64" s="18" t="str">
        <x:v>SPARK-229 (pricing regression; verify issue mapping)</x:v>
      </x:c>
      <x:c r="D64" s="18" t="str">
        <x:v>Cases row 64</x:v>
      </x:c>
      <x:c r="E64" s="18" t="str">
        <x:v>QA at merge 5995394ef27c; approval pending; Không đại diện cho môi trường PostgreSQL/payOS production. Developer-authored unit test independently exec</x:v>
      </x:c>
    </x:row>
    <x:row r="65" ht="36" customHeight="1">
      <x:c r="A65" s="18" t="str">
        <x:v>UNIT-064</x:v>
      </x:c>
      <x:c r="B65" s="18" t="str">
        <x:v>Domain.ParkingPricingCalculatorTests.TC_PRICE_09_RoundingMode_HALF_UP_THOUSAND(unrounded: 1499, expected: 1000)</x:v>
      </x:c>
      <x:c r="C65" s="18" t="str">
        <x:v>SPARK-229 (pricing regression; verify issue mapping)</x:v>
      </x:c>
      <x:c r="D65" s="18" t="str">
        <x:v>Cases row 65</x:v>
      </x:c>
      <x:c r="E65" s="18" t="str">
        <x:v>QA at merge 5995394ef27c; approval pending; Không đại diện cho môi trường PostgreSQL/payOS production. Developer-authored unit test independently exec</x:v>
      </x:c>
    </x:row>
    <x:row r="66" ht="36" customHeight="1">
      <x:c r="A66" s="18" t="str">
        <x:v>UNIT-065</x:v>
      </x:c>
      <x:c r="B66" s="18" t="str">
        <x:v>Domain.ParkingPricingCalculatorTests.TC_PRICE_09_RoundingMode_HALF_UP_THOUSAND(unrounded: 2500, expected: 3000)</x:v>
      </x:c>
      <x:c r="C66" s="18" t="str">
        <x:v>SPARK-229 (pricing regression; verify issue mapping)</x:v>
      </x:c>
      <x:c r="D66" s="18" t="str">
        <x:v>Cases row 66</x:v>
      </x:c>
      <x:c r="E66" s="18" t="str">
        <x:v>QA at merge 5995394ef27c; approval pending; Không đại diện cho môi trường PostgreSQL/payOS production. Developer-authored unit test independently exec</x:v>
      </x:c>
    </x:row>
    <x:row r="67" ht="36" customHeight="1">
      <x:c r="A67" s="18" t="str">
        <x:v>UNIT-066</x:v>
      </x:c>
      <x:c r="B67" s="18" t="str">
        <x:v>Domain.ParkingPricingCalculatorTests.TC_PRICE_01_UnderGracePeriod_ShouldBeFree</x:v>
      </x:c>
      <x:c r="C67" s="18" t="str">
        <x:v>SPARK-229 (pricing regression; verify issue mapping)</x:v>
      </x:c>
      <x:c r="D67" s="18" t="str">
        <x:v>Cases row 67</x:v>
      </x:c>
      <x:c r="E67" s="18" t="str">
        <x:v>QA at merge 5995394ef27c; approval pending; Không đại diện cho môi trường PostgreSQL/payOS production. Developer-authored unit test independently exec</x:v>
      </x:c>
    </x:row>
    <x:row r="68" ht="36" customHeight="1">
      <x:c r="A68" s="18" t="str">
        <x:v>UNIT-067</x:v>
      </x:c>
      <x:c r="B68" s="18" t="str">
        <x:v>Application.CalculateParkingFeeQueryValidatorTests.Validate_UntrustedCallerProvidingPolicyOverride_FailsValidation</x:v>
      </x:c>
      <x:c r="C68" s="18" t="str">
        <x:v>SPARK-229 (pricing regression; verify issue mapping)</x:v>
      </x:c>
      <x:c r="D68" s="18" t="str">
        <x:v>Cases row 68</x:v>
      </x:c>
      <x:c r="E68" s="18" t="str">
        <x:v>QA at merge 5995394ef27c; approval pending; Không đại diện cho môi trường PostgreSQL/payOS production. Developer-authored unit test independently exec</x:v>
      </x:c>
    </x:row>
    <x:row r="69" ht="36" customHeight="1">
      <x:c r="A69" s="18" t="str">
        <x:v>UNIT-068</x:v>
      </x:c>
      <x:c r="B69" s="18" t="str">
        <x:v>Application.CalculateParkingFeeQueryValidatorTests.Validate_TrustedCallerProvidingPolicyOverride_PassesValidation</x:v>
      </x:c>
      <x:c r="C69" s="18" t="str">
        <x:v>SPARK-229 (pricing regression; verify issue mapping)</x:v>
      </x:c>
      <x:c r="D69" s="18" t="str">
        <x:v>Cases row 69</x:v>
      </x:c>
      <x:c r="E69" s="18" t="str">
        <x:v>QA at merge 5995394ef27c; approval pending; Không đại diện cho môi trường PostgreSQL/payOS production. Developer-authored unit test independently exec</x:v>
      </x:c>
    </x:row>
    <x:row r="70" ht="36" customHeight="1">
      <x:c r="A70" s="18" t="str">
        <x:v>UNIT-069</x:v>
      </x:c>
      <x:c r="B70" s="18" t="str">
        <x:v>Application.CalculateParkingFeeQueryValidatorTests.Validate_WithUnsupportedVehicleType_FailsValidation(vehicleType: "BICYCLE")</x:v>
      </x:c>
      <x:c r="C70" s="18" t="str">
        <x:v>SPARK-229 (pricing regression; verify issue mapping)</x:v>
      </x:c>
      <x:c r="D70" s="18" t="str">
        <x:v>Cases row 70</x:v>
      </x:c>
      <x:c r="E70" s="18" t="str">
        <x:v>QA at merge 5995394ef27c; approval pending; Không đại diện cho môi trường PostgreSQL/payOS production. Developer-authored unit test independently exec</x:v>
      </x:c>
    </x:row>
    <x:row r="71" ht="36" customHeight="1">
      <x:c r="A71" s="18" t="str">
        <x:v>UNIT-070</x:v>
      </x:c>
      <x:c r="B71" s="18" t="str">
        <x:v>Application.CalculateParkingFeeQueryValidatorTests.Validate_WithUnsupportedVehicleType_FailsValidation(vehicleType: "OVERSIZED")</x:v>
      </x:c>
      <x:c r="C71" s="18" t="str">
        <x:v>SPARK-229 (pricing regression; verify issue mapping)</x:v>
      </x:c>
      <x:c r="D71" s="18" t="str">
        <x:v>Cases row 71</x:v>
      </x:c>
      <x:c r="E71" s="18" t="str">
        <x:v>QA at merge 5995394ef27c; approval pending; Không đại diện cho môi trường PostgreSQL/payOS production. Developer-authored unit test independently exec</x:v>
      </x:c>
    </x:row>
    <x:row r="72" ht="36" customHeight="1">
      <x:c r="A72" s="18" t="str">
        <x:v>UNIT-071</x:v>
      </x:c>
      <x:c r="B72" s="18" t="str">
        <x:v>Application.CalculateParkingFeeQueryValidatorTests.Validate_WithUnsupportedVehicleType_FailsValidation(vehicleType: "BUS")</x:v>
      </x:c>
      <x:c r="C72" s="18" t="str">
        <x:v>SPARK-229 (pricing regression; verify issue mapping)</x:v>
      </x:c>
      <x:c r="D72" s="18" t="str">
        <x:v>Cases row 72</x:v>
      </x:c>
      <x:c r="E72" s="18" t="str">
        <x:v>QA at merge 5995394ef27c; approval pending; Không đại diện cho môi trường PostgreSQL/payOS production. Developer-authored unit test independently exec</x:v>
      </x:c>
    </x:row>
    <x:row r="73" ht="36" customHeight="1">
      <x:c r="A73" s="18" t="str">
        <x:v>UNIT-072</x:v>
      </x:c>
      <x:c r="B73" s="18" t="str">
        <x:v>Application.CalculateParkingFeeQueryValidatorTests.Validate_WithUnsupportedVehicleType_FailsValidation(vehicleType: "TRUCK")</x:v>
      </x:c>
      <x:c r="C73" s="18" t="str">
        <x:v>SPARK-229 (pricing regression; verify issue mapping)</x:v>
      </x:c>
      <x:c r="D73" s="18" t="str">
        <x:v>Cases row 73</x:v>
      </x:c>
      <x:c r="E73" s="18" t="str">
        <x:v>QA at merge 5995394ef27c; approval pending; Không đại diện cho môi trường PostgreSQL/payOS production. Developer-authored unit test independently exec</x:v>
      </x:c>
    </x:row>
    <x:row r="74" ht="36" customHeight="1">
      <x:c r="A74" s="18" t="str">
        <x:v>UNIT-073</x:v>
      </x:c>
      <x:c r="B74" s="18" t="str">
        <x:v>Application.CalculateParkingFeeQueryValidatorTests.Validate_WithExitTimeBeforeEntryTime_FailsValidation</x:v>
      </x:c>
      <x:c r="C74" s="18" t="str">
        <x:v>SPARK-229 (pricing regression; verify issue mapping)</x:v>
      </x:c>
      <x:c r="D74" s="18" t="str">
        <x:v>Cases row 74</x:v>
      </x:c>
      <x:c r="E74" s="18" t="str">
        <x:v>QA at merge 5995394ef27c; approval pending; Không đại diện cho môi trường PostgreSQL/payOS production. Developer-authored unit test independently exec</x:v>
      </x:c>
    </x:row>
    <x:row r="75" ht="36" customHeight="1">
      <x:c r="A75" s="18" t="str">
        <x:v>UNIT-074</x:v>
      </x:c>
      <x:c r="B75" s="18" t="str">
        <x:v>Application.CalculateParkingFeeQueryValidatorTests.Validate_WithValidMotorcycleRequest_PassesValidation</x:v>
      </x:c>
      <x:c r="C75" s="18" t="str">
        <x:v>SPARK-229 (pricing regression; verify issue mapping)</x:v>
      </x:c>
      <x:c r="D75" s="18" t="str">
        <x:v>Cases row 75</x:v>
      </x:c>
      <x:c r="E75" s="18" t="str">
        <x:v>QA at merge 5995394ef27c; approval pending; Không đại diện cho môi trường PostgreSQL/payOS production. Developer-authored unit test independently exec</x:v>
      </x:c>
    </x:row>
    <x:row r="76" ht="36" customHeight="1">
      <x:c r="A76" s="18" t="str">
        <x:v>UNIT-075</x:v>
      </x:c>
      <x:c r="B76" s="18" t="str">
        <x:v>Application.CalculateParkingFeeQueryValidatorTests.Validate_WithValidCarRequest_PassesValidation</x:v>
      </x:c>
      <x:c r="C76" s="18" t="str">
        <x:v>SPARK-229 (pricing regression; verify issue mapping)</x:v>
      </x:c>
      <x:c r="D76" s="18" t="str">
        <x:v>Cases row 76</x:v>
      </x:c>
      <x:c r="E76" s="18" t="str">
        <x:v>QA at merge 5995394ef27c; approval pending; Không đại diện cho môi trường PostgreSQL/payOS production. Developer-authored unit test independently exec</x:v>
      </x:c>
    </x:row>
    <x:row r="77" ht="36" customHeight="1">
      <x:c r="A77" s="18" t="str">
        <x:v>UNIT-076</x:v>
      </x:c>
      <x:c r="B77" s="18" t="str">
        <x:v>Integration.DependencyInjectionTests.ServiceProvider_ShouldResolveAllRequiredDependencies_WithoutExceptions</x:v>
      </x:c>
      <x:c r="C77" s="18" t="str">
        <x:v>SPARK-250</x:v>
      </x:c>
      <x:c r="D77" s="18" t="str">
        <x:v>Cases row 77</x:v>
      </x:c>
      <x:c r="E77" s="18" t="str">
        <x:v>QA at merge 5995394ef27c; approval pending; Không đại diện cho môi trường PostgreSQL/payOS production. Developer-authored unit test independently exec</x:v>
      </x:c>
    </x:row>
    <x:row r="78" ht="36" customHeight="1">
      <x:c r="A78" s="18" t="str">
        <x:v>UNIT-077</x:v>
      </x:c>
      <x:c r="B78" s="18" t="str">
        <x:v>Persistence.TariffPersistenceAdapterTests.GetActivePolicyAsync_WhenTariffIsInactive_ReturnsNull</x:v>
      </x:c>
      <x:c r="C78" s="18" t="str">
        <x:v>SPARK-229 (pricing regression; verify issue mapping)</x:v>
      </x:c>
      <x:c r="D78" s="18" t="str">
        <x:v>Cases row 78</x:v>
      </x:c>
      <x:c r="E78" s="18" t="str">
        <x:v>QA at merge 5995394ef27c; approval pending; Không đại diện cho môi trường PostgreSQL/payOS production. Developer-authored unit test independently exec</x:v>
      </x:c>
    </x:row>
    <x:row r="79" ht="36" customHeight="1">
      <x:c r="A79" s="18" t="str">
        <x:v>UNIT-078</x:v>
      </x:c>
      <x:c r="B79" s="18" t="str">
        <x:v>Persistence.TariffPersistenceAdapterTests.GetActivePolicyAsync_WhenTariffExists_ReturnsMappedPricingPolicySnapshot</x:v>
      </x:c>
      <x:c r="C79" s="18" t="str">
        <x:v>SPARK-229 (pricing regression; verify issue mapping)</x:v>
      </x:c>
      <x:c r="D79" s="18" t="str">
        <x:v>Cases row 79</x:v>
      </x:c>
      <x:c r="E79" s="18" t="str">
        <x:v>QA at merge 5995394ef27c; approval pending; Không đại diện cho môi trường PostgreSQL/payOS production. Developer-authored unit test independently exec</x:v>
      </x:c>
    </x:row>
    <x:row r="80" ht="36" customHeight="1">
      <x:c r="A80" s="18" t="str">
        <x:v>UNIT-079</x:v>
      </x:c>
      <x:c r="B80" s="18" t="str">
        <x:v>Persistence.TariffPersistenceAdapterTests.GetActivePolicyAsync_WhenNoTariffExists_ReturnsNull</x:v>
      </x:c>
      <x:c r="C80" s="18" t="str">
        <x:v>SPARK-229 (pricing regression; verify issue mapping)</x:v>
      </x:c>
      <x:c r="D80" s="18" t="str">
        <x:v>Cases row 80</x:v>
      </x:c>
      <x:c r="E80" s="18" t="str">
        <x:v>QA at merge 5995394ef27c; approval pending; Không đại diện cho môi trường PostgreSQL/payOS production. Developer-authored unit test independently exec</x:v>
      </x:c>
    </x:row>
    <x:row r="81" ht="36" customHeight="1">
      <x:c r="A81" s="18" t="str">
        <x:v>UNIT-080</x:v>
      </x:c>
      <x:c r="B81" s="18" t="str">
        <x:v>Persistence.TariffPersistenceAdapterTests.GetActivePolicyAsync_WhenTariffIsSoftDeleted_ReturnsNull</x:v>
      </x:c>
      <x:c r="C81" s="18" t="str">
        <x:v>SPARK-229 (pricing regression; verify issue mapping)</x:v>
      </x:c>
      <x:c r="D81" s="18" t="str">
        <x:v>Cases row 81</x:v>
      </x:c>
      <x:c r="E81" s="18" t="str">
        <x:v>QA at merge 5995394ef27c; approval pending; Không đại diện cho môi trường PostgreSQL/payOS production. Developer-authored unit test independently exec</x:v>
      </x:c>
    </x:row>
    <x:row r="82" ht="36" customHeight="1">
      <x:c r="A82" s="18" t="str">
        <x:v>HTTP-01</x:v>
      </x:c>
      <x:c r="B82" s="18" t="str">
        <x:v>OpenAPI Development</x:v>
      </x:c>
      <x:c r="C82" s="18" t="str">
        <x:v>SPARK-250</x:v>
      </x:c>
      <x:c r="D82" s="18" t="str">
        <x:v>Cases row 82</x:v>
      </x:c>
      <x:c r="E82" s="18" t="str">
        <x:v>QA at merge 5995394ef27c; approval pending; Lần đầu gặp ProtocolViolationException của client.</x:v>
      </x:c>
    </x:row>
    <x:row r="83" ht="36" customHeight="1">
      <x:c r="A83" s="18" t="str">
        <x:v>HTTP-02</x:v>
      </x:c>
      <x:c r="B83" s="18" t="str">
        <x:v>Checkout chưa xác thực</x:v>
      </x:c>
      <x:c r="C83" s="18" t="str">
        <x:v>SPARK-250</x:v>
      </x:c>
      <x:c r="D83" s="18" t="str">
        <x:v>Cases row 83</x:v>
      </x:c>
      <x:c r="E83" s="18" t="str">
        <x:v>QA at merge 5995394ef27c; approval pending; </x:v>
      </x:c>
    </x:row>
    <x:row r="84" ht="36" customHeight="1">
      <x:c r="A84" s="18" t="str">
        <x:v>HTTP-03</x:v>
      </x:c>
      <x:c r="B84" s="18" t="str">
        <x:v>Payment Status chưa xác thực</x:v>
      </x:c>
      <x:c r="C84" s="18" t="str">
        <x:v>SPARK-250</x:v>
      </x:c>
      <x:c r="D84" s="18" t="str">
        <x:v>Cases row 84</x:v>
      </x:c>
      <x:c r="E84" s="18" t="str">
        <x:v>QA at merge 5995394ef27c; approval pending; Lần đầu gặp ProtocolViolationException của client.</x:v>
      </x:c>
    </x:row>
    <x:row r="85" ht="36" customHeight="1">
      <x:c r="A85" s="18" t="str">
        <x:v>HTTP-04</x:v>
      </x:c>
      <x:c r="B85" s="18" t="str">
        <x:v>Pricing chưa xác thực</x:v>
      </x:c>
      <x:c r="C85" s="18" t="str">
        <x:v>SPARK-229 (pricing regression; verify issue mapping)</x:v>
      </x:c>
      <x:c r="D85" s="18" t="str">
        <x:v>Cases row 85</x:v>
      </x:c>
      <x:c r="E85" s="18" t="str">
        <x:v>QA at merge 5995394ef27c; approval pending; </x:v>
      </x:c>
    </x:row>
    <x:row r="86" ht="36" customHeight="1">
      <x:c r="A86" s="18" t="str">
        <x:v>HTTP-05</x:v>
      </x:c>
      <x:c r="B86" s="18" t="str">
        <x:v>Webhook JSON không hợp lệ</x:v>
      </x:c>
      <x:c r="C86" s="18" t="str">
        <x:v>SPARK-250</x:v>
      </x:c>
      <x:c r="D86" s="18" t="str">
        <x:v>Cases row 86</x:v>
      </x:c>
      <x:c r="E86" s="18" t="str">
        <x:v>QA at merge 5995394ef27c; approval pending; </x:v>
      </x:c>
    </x:row>
    <x:row r="87" ht="36" customHeight="1">
      <x:c r="A87" s="18" t="str">
        <x:v>HTTP-06</x:v>
      </x:c>
      <x:c r="B87" s="18" t="str">
        <x:v>Checkout JSON không hợp lệ</x:v>
      </x:c>
      <x:c r="C87" s="18" t="str">
        <x:v>SPARK-250</x:v>
      </x:c>
      <x:c r="D87" s="18" t="str">
        <x:v>Cases row 87</x:v>
      </x:c>
      <x:c r="E87" s="18" t="str">
        <x:v>QA at merge 5995394ef27c; approval pending; Development giả lập xác thực; không chứng minh JWT production.</x:v>
      </x:c>
    </x:row>
    <x:row r="88" ht="36" customHeight="1">
      <x:c r="A88" s="18" t="str">
        <x:v>DB-HTTP-01</x:v>
      </x:c>
      <x:c r="B88" s="18" t="str">
        <x:v>Transaction ID không tồn tại</x:v>
      </x:c>
      <x:c r="C88" s="18" t="str">
        <x:v>SPARK-250</x:v>
      </x:c>
      <x:c r="D88" s="18" t="str">
        <x:v>Cases row 88</x:v>
      </x:c>
      <x:c r="E88" s="18" t="str">
        <x:v>QA at merge 5995394ef27c; approval pending; Read-only GET</x:v>
      </x:c>
    </x:row>
    <x:row r="89" ht="36" customHeight="1">
      <x:c r="A89" s="18" t="str">
        <x:v>DB-HTTP-02</x:v>
      </x:c>
      <x:c r="B89" s="18" t="str">
        <x:v>Order ID không tồn tại</x:v>
      </x:c>
      <x:c r="C89" s="18" t="str">
        <x:v>SPARK-250</x:v>
      </x:c>
      <x:c r="D89" s="18" t="str">
        <x:v>Cases row 89</x:v>
      </x:c>
      <x:c r="E89" s="18" t="str">
        <x:v>QA at merge 5995394ef27c; approval pending; Negative POST không tạo order</x:v>
      </x:c>
    </x:row>
    <x:row r="90" ht="36" customHeight="1">
      <x:c r="A90" s="18" t="str">
        <x:v>CHECKOUT-01</x:v>
      </x:c>
      <x:c r="B90" s="18" t="str">
        <x:v>Tạo checkout hợp lệ với đơn QA</x:v>
      </x:c>
      <x:c r="C90" s="18" t="str">
        <x:v>SPARK-250</x:v>
      </x:c>
      <x:c r="D90" s="18" t="str">
        <x:v>Cases row 90</x:v>
      </x:c>
      <x:c r="E90" s="18" t="str">
        <x:v>QA at merge 5995394ef27c; approval pending; 1 order QA, 25.000đ; không thanh toán thật</x:v>
      </x:c>
    </x:row>
    <x:row r="91" ht="36" customHeight="1">
      <x:c r="A91" s="18" t="str">
        <x:v>CHECKOUT-02</x:v>
      </x:c>
      <x:c r="B91" s="18" t="str">
        <x:v>Replay Idempotency-Key</x:v>
      </x:c>
      <x:c r="C91" s="18" t="str">
        <x:v>SPARK-250</x:v>
      </x:c>
      <x:c r="D91" s="18" t="str">
        <x:v>Cases row 91</x:v>
      </x:c>
      <x:c r="E91" s="18" t="str">
        <x:v>QA at merge 5995394ef27c; approval pending; Không tạo giao dịch mới</x:v>
      </x:c>
    </x:row>
    <x:row r="92" ht="36" customHeight="1">
      <x:c r="A92" s="18" t="str">
        <x:v>DB-POST-01</x:v>
      </x:c>
      <x:c r="B92" s="18" t="str">
        <x:v>Đối chiếu bản ghi sau checkout</x:v>
      </x:c>
      <x:c r="C92" s="18" t="str">
        <x:v>SPARK-250</x:v>
      </x:c>
      <x:c r="D92" s="18" t="str">
        <x:v>Cases row 92</x:v>
      </x:c>
      <x:c r="E92" s="18" t="str">
        <x:v>QA at merge 5995394ef27c; approval pending; Order 8ff18292-9fd0-4c02-9c61-81000e79adc0</x:v>
      </x:c>
    </x:row>
    <x:row r="93" ht="36" customHeight="1">
      <x:c r="A93" s="18" t="str">
        <x:v>WEBHOOK-01</x:v>
      </x:c>
      <x:c r="B93" s="18" t="str">
        <x:v>Sai chữ ký HMAC</x:v>
      </x:c>
      <x:c r="C93" s="18" t="str">
        <x:v>SPARK-250</x:v>
      </x:c>
      <x:c r="D93" s="18" t="str">
        <x:v>Cases row 93</x:v>
      </x:c>
      <x:c r="E93" s="18" t="str">
        <x:v>QA at merge 5995394ef27c; approval pending; Không sử dụng webhook payOS production</x:v>
      </x:c>
    </x:row>
    <x:row r="94" ht="36" customHeight="1">
      <x:c r="A94" s="18" t="str">
        <x:v>WEBHOOK-02</x:v>
      </x:c>
      <x:c r="B94" s="18" t="str">
        <x:v>Chữ ký hợp lệ, lệch số tiền +1đ</x:v>
      </x:c>
      <x:c r="C94" s="18" t="str">
        <x:v>SPARK-250</x:v>
      </x:c>
      <x:c r="D94" s="18" t="str">
        <x:v>Cases row 94</x:v>
      </x:c>
      <x:c r="E94" s="18" t="str">
        <x:v>QA at merge 5995394ef27c; approval pending; Giữ QA HOLD; chưa có stack trace xác nhận root cause</x:v>
      </x:c>
    </x:row>
    <x:row r="95" ht="36" customHeight="1">
      <x:c r="A95" s="18" t="str">
        <x:v>WEBHOOK-03</x:v>
      </x:c>
      <x:c r="B95" s="18" t="str">
        <x:v>Webhook hợp lệ / PAID</x:v>
      </x:c>
      <x:c r="C95" s="18" t="str">
        <x:v>SPARK-250</x:v>
      </x:c>
      <x:c r="D95" s="18" t="str">
        <x:v>Cases row 95</x:v>
      </x:c>
      <x:c r="E95" s="18" t="str">
        <x:v>QA at merge 5995394ef27c; approval pending; Dừng theo FAIL của WEBHOOK-02; chưa gửi webhook hợp lệ</x:v>
      </x:c>
    </x:row>
    <x:row r="96" ht="36" customHeight="1">
      <x:c r="A96" s="18" t="str">
        <x:v>WEBHOOK-04</x:v>
      </x:c>
      <x:c r="B96" s="18" t="str">
        <x:v>Replay webhook trùng</x:v>
      </x:c>
      <x:c r="C96" s="18" t="str">
        <x:v>SPARK-250</x:v>
      </x:c>
      <x:c r="D96" s="18" t="str">
        <x:v>Cases row 96</x:v>
      </x:c>
      <x:c r="E96" s="18" t="str">
        <x:v>QA at merge 5995394ef27c; approval pending; Chưa chạy vì luồng webhook đang HOLD</x:v>
      </x:c>
    </x:row>
    <x:row r="97" ht="36" customHeight="1">
      <x:c r="A97" s="18" t="str">
        <x:v>STATUS-01</x:v>
      </x:c>
      <x:c r="B97" s="18" t="str">
        <x:v>Đọc status SUCCESS và isAuthoritative</x:v>
      </x:c>
      <x:c r="C97" s="18" t="str">
        <x:v>SPARK-250</x:v>
      </x:c>
      <x:c r="D97" s="18" t="str">
        <x:v>Cases row 97</x:v>
      </x:c>
      <x:c r="E97" s="18" t="str">
        <x:v>QA at merge 5995394ef27c; approval pending; Chưa có webhook hợp lệ dẫn đến SUCCESS</x:v>
      </x:c>
    </x:row>
    <x:row r="98" ht="36" customHeight="1">
      <x:c r="A98" s="18" t="str">
        <x:v>DB-WEBHOOK-01</x:v>
      </x:c>
      <x:c r="B98" s="18" t="str">
        <x:v>Kiểm tra PAID/SUCCESS và event trạng thái</x:v>
      </x:c>
      <x:c r="C98" s="18" t="str">
        <x:v>SPARK-250</x:v>
      </x:c>
      <x:c r="D98" s="18" t="str">
        <x:v>Cases row 98</x:v>
      </x:c>
      <x:c r="E98" s="18" t="str">
        <x:v>QA at merge 5995394ef27c; approval pending; Chưa có thành công webhook để xác minh</x:v>
      </x:c>
    </x:row>
    <x:row r="99" ht="36" customHeight="1">
      <x:c r="A99" s="18" t="str">
        <x:v>E2E-RES-01</x:v>
      </x:c>
      <x:c r="B99" s="18" t="str">
        <x:v>Reservation pricing snapshot → PaymentService</x:v>
      </x:c>
      <x:c r="C99" s="18" t="str">
        <x:v>SPARK-229 (pricing regression; verify issue mapping)</x:v>
      </x:c>
      <x:c r="D99" s="18" t="str">
        <x:v>Cases row 99</x:v>
      </x:c>
      <x:c r="E99" s="18" t="str">
        <x:v>Root caller: PaymentService → ReservationService; placed in Payment workbook. QA at merge 5995394ef27c; approval pending; Thiếu chứng cứ endpoint comp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6" hidden="0" customWidth="1"/>
    <x:col min="4" max="4" width="33" hidden="0" customWidth="1"/>
    <x:col min="5" max="5" width="25" hidden="0" customWidth="1"/>
    <x:col min="6" max="6" width="23" hidden="0" customWidth="1"/>
    <x:col min="7" max="7" width="42" hidden="0" customWidth="1"/>
    <x:col min="8" max="8" width="28" hidden="0" customWidth="1"/>
    <x:col min="9" max="9" width="29" hidden="0" customWidth="1"/>
    <x:col min="10" max="10" width="12" hidden="0" customWidth="1"/>
    <x:col min="11" max="11" width="45" hidden="0" customWidth="1"/>
    <x:col min="12" max="12" width="42" hidden="0" customWidth="1"/>
    <x:col min="13" max="13" width="65" hidden="0" customWidth="1"/>
    <x:col min="14" max="14" width="70" hidden="0" customWidth="1"/>
    <x:col min="15" max="15" width="48" hidden="0" customWidth="1"/>
    <x:col min="16" max="16" width="30" hidden="0" customWidth="1"/>
    <x:col min="17" max="17" width="15" hidden="0" customWidth="1"/>
    <x:col min="18" max="18" width="25" hidden="0" customWidth="1"/>
    <x:col min="19" max="19" width="30" hidden="0" customWidth="1"/>
    <x:col min="20" max="20" width="22" hidden="0" customWidth="1"/>
    <x:col min="21" max="21" width="24" hidden="0" customWidth="1"/>
    <x:col min="22" max="22" width="60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FR / requirement</x:v>
      </x:c>
      <x:c r="D1" s="5" t="str">
        <x:v>BR</x:v>
      </x:c>
      <x:c r="E1" s="5" t="str">
        <x:v>US</x:v>
      </x:c>
      <x:c r="F1" s="5" t="str">
        <x:v>UC</x:v>
      </x:c>
      <x:c r="G1" s="5" t="str">
        <x:v>API</x:v>
      </x:c>
      <x:c r="H1" s="5" t="str">
        <x:v>Jira</x:v>
      </x:c>
      <x:c r="I1" s="5" t="str">
        <x:v>Type / dimension</x:v>
      </x:c>
      <x:c r="J1" s="5" t="str">
        <x:v>Risk</x:v>
      </x:c>
      <x:c r="K1" s="5" t="str">
        <x:v>Preconditions</x:v>
      </x:c>
      <x:c r="L1" s="5" t="str">
        <x:v>Data / setup</x:v>
      </x:c>
      <x:c r="M1" s="5" t="str">
        <x:v>Steps</x:v>
      </x:c>
      <x:c r="N1" s="5" t="str">
        <x:v>Independent expected result</x:v>
      </x:c>
      <x:c r="O1" s="5" t="str">
        <x:v>Actual result</x:v>
      </x:c>
      <x:c r="P1" s="5" t="str">
        <x:v>Evidence links</x:v>
      </x:c>
      <x:c r="Q1" s="5" t="str">
        <x:v>Status</x:v>
      </x:c>
      <x:c r="R1" s="5" t="str">
        <x:v>Defect links</x:v>
      </x:c>
      <x:c r="S1" s="5" t="str">
        <x:v>Retest / prior run links</x:v>
      </x:c>
      <x:c r="T1" s="5" t="str">
        <x:v>Tester</x:v>
      </x:c>
      <x:c r="U1" s="5" t="str">
        <x:v>Executed UTC</x:v>
      </x:c>
      <x:c r="V1" s="5" t="str">
        <x:v>Baseline / readiness</x:v>
      </x:c>
    </x:row>
    <x:row r="2" ht="126" customHeight="1">
      <x:c r="A2" s="6" t="str">
        <x:v>TEMPLATE-001</x:v>
      </x:c>
      <x:c r="B2" s="6" t="str">
        <x:v>Replace with one independently decidable behavior</x:v>
      </x:c>
      <x:c r="C2" s="6" t="str">
        <x:v>FR-ID + version/clause</x:v>
      </x:c>
      <x:c r="D2" s="6" t="str">
        <x:v>BR-ID or N/A + reason</x:v>
      </x:c>
      <x:c r="E2" s="6" t="str">
        <x:v>US-ID</x:v>
      </x:c>
      <x:c r="F2" s="6" t="str">
        <x:v>UC-ID</x:v>
      </x:c>
      <x:c r="G2" s="6" t="str">
        <x:v>Method/path + design version</x:v>
      </x:c>
      <x:c r="H2" s="6" t="str">
        <x:v>SPARK-xxx</x:v>
      </x:c>
      <x:c r="I2" s="6" t="str">
        <x:v>API / Integration / UAT + dimension</x:v>
      </x:c>
      <x:c r="J2" s="6" t="str">
        <x:v>High / Medium / Low</x:v>
      </x:c>
      <x:c r="K2" s="6" t="str">
        <x:v>Authentication/state/dependencies</x:v>
      </x:c>
      <x:c r="L2" s="6" t="str">
        <x:v>Synthetic fixture and generated IDs</x:v>
      </x:c>
      <x:c r="M2" s="6" t="str">
        <x:v>1. Action
2. Read back state</x:v>
      </x:c>
      <x:c r="N2" s="6" t="str">
        <x:v>Independent approved result; include no forbidden side effects</x:v>
      </x:c>
      <x:c r="O2" s="6" t="str"/>
      <x:c r="P2" s="6" t="str"/>
      <x:c r="Q2" s="6" t="str">
        <x:v>Not Run</x:v>
      </x:c>
      <x:c r="R2" s="6" t="str"/>
      <x:c r="S2" s="6" t="str"/>
      <x:c r="T2" s="6" t="str"/>
      <x:c r="U2" s="6" t="str"/>
      <x:c r="V2" s="6" t="str">
        <x:v>Authority / C-A-X-F / dependency</x:v>
      </x:c>
    </x:row>
  </x:sheetData>
  <x:dataValidations count="1">
    <x:dataValidation type="list" sqref="Q2:Q200">
      <x:formula1>"Not Run,Pass,Fail,Blocked,N/A"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2" hidden="0" customWidth="1"/>
    <x:col min="3" max="3" width="80" hidden="0" customWidth="1"/>
    <x:col min="4" max="4" width="20" hidden="0" customWidth="1"/>
    <x:col min="5" max="5" width="48" hidden="0" customWidth="1"/>
    <x:col min="6" max="6" width="30" hidden="0" customWidth="1"/>
  </x:cols>
  <x:sheetData>
    <x:row r="1" ht="32" customHeight="1">
      <x:c r="A1" s="5" t="str">
        <x:v>Check ID</x:v>
      </x:c>
      <x:c r="B1" s="5" t="str">
        <x:v>Review area</x:v>
      </x:c>
      <x:c r="C1" s="5" t="str">
        <x:v>Required evidence</x:v>
      </x:c>
      <x:c r="D1" s="5" t="str">
        <x:v>Yes / No / N/A</x:v>
      </x:c>
      <x:c r="E1" s="5" t="str">
        <x:v>Case / test / gap links</x:v>
      </x:c>
      <x:c r="F1" s="5" t="str">
        <x:v>Reviewer / date</x:v>
      </x:c>
    </x:row>
    <x:row r="2" ht="60" customHeight="1">
      <x:c r="A2" s="6" t="str">
        <x:v>UNIT-01</x:v>
      </x:c>
      <x:c r="B2" s="6" t="str">
        <x:v>Business assertions</x:v>
      </x:c>
      <x:c r="C2" s="6" t="str">
        <x:v>Expected outcome derived independently; return and state checked</x:v>
      </x:c>
      <x:c r="D2" s="6" t="str"/>
      <x:c r="E2" s="6" t="str"/>
      <x:c r="F2" s="6" t="str"/>
    </x:row>
    <x:row r="3" ht="60" customHeight="1">
      <x:c r="A3" s="3" t="str">
        <x:v>UNIT-02</x:v>
      </x:c>
      <x:c r="B3" s="3" t="str">
        <x:v>Branches</x:v>
      </x:c>
      <x:c r="C3" s="3" t="str">
        <x:v>Success, rejection, missing/null, cancellation, failure</x:v>
      </x:c>
      <x:c r="D3" s="3" t="str"/>
      <x:c r="E3" s="3" t="str"/>
      <x:c r="F3" s="3" t="str"/>
    </x:row>
    <x:row r="4" ht="60" customHeight="1">
      <x:c r="A4" s="6" t="str">
        <x:v>UNIT-03</x:v>
      </x:c>
      <x:c r="B4" s="6" t="str">
        <x:v>Controlled clock</x:v>
      </x:c>
      <x:c r="C4" s="6" t="str">
        <x:v>Exact equality boundaries; no sleeps</x:v>
      </x:c>
      <x:c r="D4" s="6" t="str"/>
      <x:c r="E4" s="6" t="str"/>
      <x:c r="F4" s="6" t="str"/>
    </x:row>
    <x:row r="5" ht="60" customHeight="1">
      <x:c r="A5" s="3" t="str">
        <x:v>UNIT-04</x:v>
      </x:c>
      <x:c r="B5" s="3" t="str">
        <x:v>Meaningful mocks</x:v>
      </x:c>
      <x:c r="C5" s="3" t="str">
        <x:v>Do not mock rule under test; forbidden save/message asserted</x:v>
      </x:c>
      <x:c r="D5" s="3" t="str"/>
      <x:c r="E5" s="3" t="str"/>
      <x:c r="F5" s="3" t="str"/>
    </x:row>
    <x:row r="6" ht="60" customHeight="1">
      <x:c r="A6" s="6" t="str">
        <x:v>UNIT-05</x:v>
      </x:c>
      <x:c r="B6" s="6" t="str">
        <x:v>Isolation</x:v>
      </x:c>
      <x:c r="C6" s="6" t="str">
        <x:v>No order/shared-state dependence; repeatable fixtures</x:v>
      </x:c>
      <x:c r="D6" s="6" t="str"/>
      <x:c r="E6" s="6" t="str"/>
      <x:c r="F6" s="6" t="str"/>
    </x:row>
    <x:row r="7" ht="60" customHeight="1">
      <x:c r="A7" s="3" t="str">
        <x:v>UNIT-06</x:v>
      </x:c>
      <x:c r="B7" s="3" t="str">
        <x:v>Mutation/state</x:v>
      </x:c>
      <x:c r="C7" s="3" t="str">
        <x:v>Change a key condition/state update: test must fail; inspect rollback</x:v>
      </x:c>
      <x:c r="D7" s="3" t="str"/>
      <x:c r="E7" s="3" t="str"/>
      <x:c r="F7" s="3" t="str"/>
    </x:row>
    <x:row r="8" ht="60" customHeight="1">
      <x:c r="A8" s="6" t="str">
        <x:v>UNIT-07</x:v>
      </x:c>
      <x:c r="B8" s="6" t="str">
        <x:v>Coverage gaps</x:v>
      </x:c>
      <x:c r="C8" s="6" t="str">
        <x:v>Uncovered rules recorded; mocks do not replace DB/concurrency tests</x:v>
      </x:c>
      <x:c r="D8" s="6" t="str"/>
      <x:c r="E8" s="6" t="str"/>
      <x:c r="F8" s="6" t="str"/>
    </x:row>
    <x:row r="9" ht="60" customHeight="1">
      <x:c r="A9" s="3" t="str">
        <x:v>EDGE-01</x:v>
      </x:c>
      <x:c r="B9" s="3" t="str">
        <x:v>Happy path</x:v>
      </x:c>
      <x:c r="C9" s="3" t="str">
        <x:v>Case IDs and evidence, or reviewed N/A; blocked needs dependency link</x:v>
      </x:c>
      <x:c r="D9" s="3" t="str"/>
      <x:c r="E9" s="3" t="str"/>
      <x:c r="F9" s="3" t="str"/>
    </x:row>
    <x:row r="10" ht="60" customHeight="1">
      <x:c r="A10" s="6" t="str">
        <x:v>EDGE-02</x:v>
      </x:c>
      <x:c r="B10" s="6" t="str">
        <x:v>Negative input</x:v>
      </x:c>
      <x:c r="C10" s="6" t="str">
        <x:v>Case IDs and evidence, or reviewed N/A; blocked needs dependency link</x:v>
      </x:c>
      <x:c r="D10" s="6" t="str"/>
      <x:c r="E10" s="6" t="str"/>
      <x:c r="F10" s="6" t="str"/>
    </x:row>
    <x:row r="11" ht="60" customHeight="1">
      <x:c r="A11" s="3" t="str">
        <x:v>EDGE-03</x:v>
      </x:c>
      <x:c r="B11" s="3" t="str">
        <x:v>Boundary below/equal/above</x:v>
      </x:c>
      <x:c r="C11" s="3" t="str">
        <x:v>Case IDs and evidence, or reviewed N/A; blocked needs dependency link</x:v>
      </x:c>
      <x:c r="D11" s="3" t="str"/>
      <x:c r="E11" s="3" t="str"/>
      <x:c r="F11" s="3" t="str"/>
    </x:row>
    <x:row r="12" ht="60" customHeight="1">
      <x:c r="A12" s="6" t="str">
        <x:v>EDGE-04</x:v>
      </x:c>
      <x:c r="B12" s="6" t="str">
        <x:v>Authorization and foreign scope</x:v>
      </x:c>
      <x:c r="C12" s="6" t="str">
        <x:v>Case IDs and evidence, or reviewed N/A; blocked needs dependency link</x:v>
      </x:c>
      <x:c r="D12" s="6" t="str"/>
      <x:c r="E12" s="6" t="str"/>
      <x:c r="F12" s="6" t="str"/>
    </x:row>
    <x:row r="13" ht="60" customHeight="1">
      <x:c r="A13" s="3" t="str">
        <x:v>EDGE-05</x:v>
      </x:c>
      <x:c r="B13" s="3" t="str">
        <x:v>Current-state revocation</x:v>
      </x:c>
      <x:c r="C13" s="3" t="str">
        <x:v>Case IDs and evidence, or reviewed N/A; blocked needs dependency link</x:v>
      </x:c>
      <x:c r="D13" s="3" t="str"/>
      <x:c r="E13" s="3" t="str"/>
      <x:c r="F13" s="3" t="str"/>
    </x:row>
    <x:row r="14" ht="60" customHeight="1">
      <x:c r="A14" s="6" t="str">
        <x:v>EDGE-06</x:v>
      </x:c>
      <x:c r="B14" s="6" t="str">
        <x:v>State transitions</x:v>
      </x:c>
      <x:c r="C14" s="6" t="str">
        <x:v>Case IDs and evidence, or reviewed N/A; blocked needs dependency link</x:v>
      </x:c>
      <x:c r="D14" s="6" t="str"/>
      <x:c r="E14" s="6" t="str"/>
      <x:c r="F14" s="6" t="str"/>
    </x:row>
    <x:row r="15" ht="60" customHeight="1">
      <x:c r="A15" s="3" t="str">
        <x:v>EDGE-07</x:v>
      </x:c>
      <x:c r="B15" s="3" t="str">
        <x:v>Retry/idempotency</x:v>
      </x:c>
      <x:c r="C15" s="3" t="str">
        <x:v>Case IDs and evidence, or reviewed N/A; blocked needs dependency link</x:v>
      </x:c>
      <x:c r="D15" s="3" t="str"/>
      <x:c r="E15" s="3" t="str"/>
      <x:c r="F15" s="3" t="str"/>
    </x:row>
    <x:row r="16" ht="60" customHeight="1">
      <x:c r="A16" s="6" t="str">
        <x:v>EDGE-08</x:v>
      </x:c>
      <x:c r="B16" s="6" t="str">
        <x:v>Concurrent race</x:v>
      </x:c>
      <x:c r="C16" s="6" t="str">
        <x:v>Case IDs and evidence, or reviewed N/A; blocked needs dependency link</x:v>
      </x:c>
      <x:c r="D16" s="6" t="str"/>
      <x:c r="E16" s="6" t="str"/>
      <x:c r="F16" s="6" t="str"/>
    </x:row>
    <x:row r="17" ht="60" customHeight="1">
      <x:c r="A17" s="3" t="str">
        <x:v>EDGE-09</x:v>
      </x:c>
      <x:c r="B17" s="3" t="str">
        <x:v>Dependency failure/unknown outcome</x:v>
      </x:c>
      <x:c r="C17" s="3" t="str">
        <x:v>Case IDs and evidence, or reviewed N/A; blocked needs dependency link</x:v>
      </x:c>
      <x:c r="D17" s="3" t="str"/>
      <x:c r="E17" s="3" t="str"/>
      <x:c r="F17" s="3" t="str"/>
    </x:row>
    <x:row r="18" ht="60" customHeight="1">
      <x:c r="A18" s="6" t="str">
        <x:v>EDGE-10</x:v>
      </x:c>
      <x:c r="B18" s="6" t="str">
        <x:v>Persistence/rollback</x:v>
      </x:c>
      <x:c r="C18" s="6" t="str">
        <x:v>Case IDs and evidence, or reviewed N/A; blocked needs dependency link</x:v>
      </x:c>
      <x:c r="D18" s="6" t="str"/>
      <x:c r="E18" s="6" t="str"/>
      <x:c r="F18" s="6" t="str"/>
    </x:row>
    <x:row r="19" ht="60" customHeight="1">
      <x:c r="A19" s="3" t="str">
        <x:v>EDGE-11</x:v>
      </x:c>
      <x:c r="B19" s="3" t="str">
        <x:v>Secret leakage</x:v>
      </x:c>
      <x:c r="C19" s="3" t="str">
        <x:v>Case IDs and evidence, or reviewed N/A; blocked needs dependency link</x:v>
      </x:c>
      <x:c r="D19" s="3" t="str"/>
      <x:c r="E19" s="3" t="str"/>
      <x:c r="F19" s="3" t="str"/>
    </x:row>
    <x:row r="20" ht="60" customHeight="1">
      <x:c r="A20" s="6" t="str">
        <x:v>EDGE-12</x:v>
      </x:c>
      <x:c r="B20" s="6" t="str">
        <x:v>Cleanup</x:v>
      </x:c>
      <x:c r="C20" s="6" t="str">
        <x:v>Case IDs and evidence, or reviewed N/A; blocked needs dependency link</x:v>
      </x:c>
      <x:c r="D20" s="6" t="str"/>
      <x:c r="E20" s="6" t="str"/>
      <x:c r="F20" s="6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54" hidden="0" customWidth="1"/>
    <x:col min="4" max="4" width="38" hidden="0" customWidth="1"/>
    <x:col min="5" max="5" width="45" hidden="0" customWidth="1"/>
    <x:col min="6" max="6" width="46" hidden="0" customWidth="1"/>
  </x:cols>
  <x:sheetData>
    <x:row r="1" ht="32" customHeight="1">
      <x:c r="A1" s="5" t="str">
        <x:v>Task / run</x:v>
      </x:c>
      <x:c r="B1" s="5" t="str">
        <x:v>Case IDs / package version</x:v>
      </x:c>
      <x:c r="C1" s="5" t="str">
        <x:v>Execution / defect evidence</x:v>
      </x:c>
      <x:c r="D1" s="5" t="str">
        <x:v>Unit + edge review</x:v>
      </x:c>
      <x:c r="E1" s="5" t="str">
        <x:v>UAT reviewer / evidence</x:v>
      </x:c>
      <x:c r="F1" s="5" t="str">
        <x:v>Decision / conditions / date</x:v>
      </x:c>
    </x:row>
    <x:row r="2" ht="60" customHeight="1">
      <x:c r="A2" s="6" t="str">
        <x:v>SPARK-250 (PR #14)</x:v>
      </x:c>
      <x:c r="B2" s="6" t="str">
        <x:v>98 case(s) | SPARK-201 v1.0 adapted</x:v>
      </x:c>
      <x:c r="C2" s="6" t="str">
        <x:v>WEBHOOK-02 FAIL; other payment cases per local execution logs</x:v>
      </x:c>
      <x:c r="D2" s="6" t="str">
        <x:v>Unit review not complete; EF integration gap</x:v>
      </x:c>
      <x:c r="E2" s="6" t="str">
        <x:v>Homepage UAT only (separate FE evidence); payment E2E not signed off</x:v>
      </x:c>
      <x:c r="F2" s="6" t="str">
        <x:v>QA HOLD — webhook mismatch HTTP 500</x:v>
      </x:c>
    </x:row>
    <x:row r="3" ht="60" customHeight="1">
      <x:c r="A3" s="3"/>
      <x:c r="B3" s="3"/>
      <x:c r="C3" s="3"/>
      <x:c r="D3" s="3"/>
      <x:c r="E3" s="3"/>
      <x:c r="F3" s="3"/>
    </x:row>
    <x:row r="4" ht="60" customHeight="1">
      <x:c r="A4" s="6"/>
      <x:c r="B4" s="6"/>
      <x:c r="C4" s="6"/>
      <x:c r="D4" s="6"/>
      <x:c r="E4" s="6"/>
      <x:c r="F4" s="6"/>
    </x:row>
    <x:row r="5" ht="60" customHeight="1">
      <x:c r="A5" s="3"/>
      <x:c r="B5" s="3"/>
      <x:c r="C5" s="3"/>
      <x:c r="D5" s="3"/>
      <x:c r="E5" s="3"/>
      <x:c r="F5" s="3"/>
    </x:row>
    <x:row r="6" ht="60" customHeight="1">
      <x:c r="A6" s="6"/>
      <x:c r="B6" s="6"/>
      <x:c r="C6" s="6"/>
      <x:c r="D6" s="6"/>
      <x:c r="E6" s="6"/>
      <x:c r="F6" s="6"/>
    </x:row>
    <x:row r="7" ht="60" customHeight="1">
      <x:c r="A7" s="3"/>
      <x:c r="B7" s="3"/>
      <x:c r="C7" s="3"/>
      <x:c r="D7" s="3"/>
      <x:c r="E7" s="3"/>
      <x:c r="F7" s="3"/>
    </x:row>
    <x:row r="8" ht="60" customHeight="1">
      <x:c r="A8" s="6"/>
      <x:c r="B8" s="6"/>
      <x:c r="C8" s="6"/>
      <x:c r="D8" s="6"/>
      <x:c r="E8" s="6"/>
      <x:c r="F8" s="6"/>
    </x:row>
    <x:row r="9" ht="60" customHeight="1">
      <x:c r="A9" s="3"/>
      <x:c r="B9" s="3"/>
      <x:c r="C9" s="3"/>
      <x:c r="D9" s="3"/>
      <x:c r="E9" s="3"/>
      <x:c r="F9" s="3"/>
    </x:row>
    <x:row r="10" ht="60" customHeight="1">
      <x:c r="A10" s="6"/>
      <x:c r="B10" s="6"/>
      <x:c r="C10" s="6"/>
      <x:c r="D10" s="6"/>
      <x:c r="E10" s="6"/>
      <x:c r="F10" s="6"/>
    </x:row>
    <x:row r="11" ht="60" customHeight="1">
      <x:c r="A11" s="3"/>
      <x:c r="B11" s="3"/>
      <x:c r="C11" s="3"/>
      <x:c r="D11" s="3"/>
      <x:c r="E11" s="3"/>
      <x:c r="F11" s="3"/>
    </x:row>
    <x:row r="12" ht="60" customHeight="1">
      <x:c r="A12" s="6"/>
      <x:c r="B12" s="6"/>
      <x:c r="C12" s="6"/>
      <x:c r="D12" s="6"/>
      <x:c r="E12" s="6"/>
      <x:c r="F12" s="6"/>
    </x:row>
    <x:row r="13" ht="60" customHeight="1">
      <x:c r="A13" s="3"/>
      <x:c r="B13" s="3"/>
      <x:c r="C13" s="3"/>
      <x:c r="D13" s="3"/>
      <x:c r="E13" s="3"/>
      <x:c r="F13" s="3"/>
    </x:row>
    <x:row r="14" ht="60" customHeight="1">
      <x:c r="A14" s="6"/>
      <x:c r="B14" s="6"/>
      <x:c r="C14" s="6"/>
      <x:c r="D14" s="6"/>
      <x:c r="E14" s="6"/>
      <x:c r="F14" s="6"/>
    </x:row>
  </x:sheetData>
  <x:pageMargins left="0.7" right="0.7" top="0.75" bottom="0.75" header="0.3" footer="0.3"/>
</x:worksheet>
</file>