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7a2135039d49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8ced92fa235245dd"/>
    <x:sheet xmlns:r="http://schemas.openxmlformats.org/officeDocument/2006/relationships" name="Test Report" sheetId="2" r:id="Rbd6fcf5b11ef4be3"/>
    <x:sheet xmlns:r="http://schemas.openxmlformats.org/officeDocument/2006/relationships" name="Test Case List" sheetId="3" r:id="Rcb3a5e854b8a405b"/>
    <x:sheet xmlns:r="http://schemas.openxmlformats.org/officeDocument/2006/relationships" name="Payment_API_Smoke" sheetId="4" r:id="Rbec628f654484410"/>
    <x:sheet xmlns:r="http://schemas.openxmlformats.org/officeDocument/2006/relationships" name="Payment_Checkout" sheetId="5" r:id="Rc8624a06f9e54467"/>
    <x:sheet xmlns:r="http://schemas.openxmlformats.org/officeDocument/2006/relationships" name="Payment_Integration" sheetId="6" r:id="R6e13175654084635"/>
    <x:sheet xmlns:r="http://schemas.openxmlformats.org/officeDocument/2006/relationships" name="Payment_Status" sheetId="7" r:id="R027e08e44a604670"/>
    <x:sheet xmlns:r="http://schemas.openxmlformats.org/officeDocument/2006/relationships" name="Payment_Webhook" sheetId="8" r:id="R2e94be1bfe1e4f72"/>
    <x:sheet xmlns:r="http://schemas.openxmlformats.org/officeDocument/2006/relationships" name="Migration Queue" sheetId="9" r:id="R962e837040d74216"/>
    <x:sheet xmlns:r="http://schemas.openxmlformats.org/officeDocument/2006/relationships" name="PR7_Pricing_QA" sheetId="10" r:id="Rcaf4c7539a1744a1"/>
    <x:sheet xmlns:r="http://schemas.openxmlformats.org/officeDocument/2006/relationships" name="Migration_Audit" sheetId="11" r:id="Rfa97b184e2594e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%"/>
  </x:numFmts>
  <x:fonts count="11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53D3B"/>
      <x:name val="Carlito"/>
    </x:font>
    <x:font>
      <x:b/>
      <x:sz val="10"/>
      <x:color rgb="FFFFFFFF"/>
      <x:name val="Carlito"/>
    </x:font>
    <x:font>
      <x:b/>
      <x:sz val="11"/>
      <x:name val="Carlito"/>
    </x:font>
    <x:font>
      <x:i/>
      <x:sz val="11"/>
      <x:color rgb="FF6B7280"/>
      <x:name val="Carlito"/>
    </x:font>
    <x:font>
      <x:b/>
      <x:sz val="11"/>
      <x:color rgb="FFFFFFFF"/>
      <x:name val="Carlito"/>
    </x:font>
    <x:font>
      <x:b/>
      <x:sz val="11"/>
      <x:color rgb="FF17354A"/>
      <x:name val="Carlito"/>
    </x:font>
    <x:font>
      <x:sz val="11"/>
      <x:color rgb="FF2B4552"/>
      <x:name val="Carlito"/>
    </x:font>
    <x:font>
      <x:b/>
      <x:sz val="11"/>
      <x:color rgb="FF0C4D68"/>
      <x:name val="Carlito"/>
    </x:font>
    <x:font>
      <x:b/>
      <x:sz val="11"/>
      <x:color rgb="FF15384A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53D3B"/>
      </x:patternFill>
    </x:fill>
    <x:fill>
      <x:patternFill patternType="solid">
        <x:fgColor rgb="FFEDF0EF"/>
      </x:patternFill>
    </x:fill>
    <x:fill>
      <x:patternFill patternType="solid">
        <x:fgColor rgb="FF718E3E"/>
      </x:patternFill>
    </x:fill>
    <x:fill>
      <x:patternFill patternType="solid">
        <x:fgColor rgb="FFEAF3EA"/>
      </x:patternFill>
    </x:fill>
    <x:fill>
      <x:patternFill patternType="solid">
        <x:fgColor rgb="FFFFF3D7"/>
      </x:patternFill>
    </x:fill>
    <x:fill>
      <x:patternFill patternType="solid">
        <x:fgColor rgb="FFFCE8E6"/>
      </x:patternFill>
    </x:fill>
    <x:fill>
      <x:patternFill patternType="solid">
        <x:fgColor rgb="FF102A3B"/>
      </x:patternFill>
    </x:fill>
    <x:fill>
      <x:patternFill patternType="solid">
        <x:fgColor rgb="FFD7E8EF"/>
      </x:patternFill>
    </x:fill>
    <x:fill>
      <x:patternFill patternType="solid">
        <x:fgColor rgb="FFE7F2F5"/>
      </x:patternFill>
    </x:fill>
    <x:fill>
      <x:patternFill patternType="solid">
        <x:fgColor rgb="FF183C52"/>
      </x:patternFill>
    </x:fill>
    <x:fill>
      <x:patternFill patternType="solid">
        <x:fgColor rgb="FFDDECF2"/>
      </x:patternFill>
    </x:fill>
  </x:fills>
  <x:borders count="2">
    <x:border/>
    <x:border/>
  </x:borders>
  <x:cellStyleXfs count="1">
    <x:xf numFmtId="0" fontId="0" fillId="0" borderId="0"/>
  </x:cellStyleXfs>
  <x:cellXfs count="7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200" fontId="0" fillId="0" borderId="0" xfId="0" applyNumberFormat="1" applyFont="1" applyFill="1" applyBorder="1"/>
    <x:xf numFmtId="200" fontId="2" fillId="5" borderId="0" xfId="0" applyNumberFormat="1" applyFont="1" applyFill="1" applyBorder="1"/>
    <x:xf numFmtId="200" fontId="0" fillId="0" borderId="1" xfId="0" applyNumberFormat="1" applyFont="1" applyFill="1" applyBorder="1"/>
    <x:xf numFmtId="200" fontId="2" fillId="5" borderId="1" xfId="0" applyNumberFormat="1" applyFont="1" applyFill="1" applyBorder="1"/>
    <x:xf numFmtId="200" fontId="0" fillId="5" borderId="0" xfId="0" applyNumberFormat="1" applyFont="1" applyFill="1" applyBorder="1"/>
    <x:xf numFmtId="200" fontId="4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/>
    </x:xf>
    <x:xf numFmtId="200" fontId="0" fillId="5" borderId="1" xfId="0" applyNumberFormat="1" applyFont="1" applyFill="1" applyBorder="1"/>
    <x:xf numFmtId="200" fontId="4" fillId="5" borderId="1" xfId="0" applyNumberFormat="1" applyFont="1" applyFill="1" applyBorder="1"/>
    <x:xf numFmtId="0" fontId="4" fillId="5" borderId="1" xfId="0" applyNumberFormat="1" applyFont="1" applyFill="1" applyBorder="1"/>
    <x:xf numFmtId="20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6" fillId="11" borderId="0" xfId="0" applyNumberFormat="1" applyFont="1" applyFill="1" applyBorder="1"/>
    <x:xf numFmtId="0" fontId="6" fillId="11" borderId="0" xfId="0" applyNumberFormat="1" applyFont="1" applyFill="1" applyBorder="1" applyAlignment="1">
      <x:alignment wrapText="1"/>
    </x:xf>
    <x:xf numFmtId="0" fontId="6" fillId="11" borderId="0" xfId="0" applyNumberFormat="1" applyFont="1" applyFill="1" applyBorder="1" applyAlignment="1">
      <x:alignment horizontal="center" wrapText="1"/>
    </x:xf>
    <x:xf numFmtId="0" fontId="6" fillId="11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200" fontId="0" fillId="12" borderId="0" xfId="0" applyNumberFormat="1" applyFont="1" applyFill="1" applyBorder="1"/>
    <x:xf numFmtId="0" fontId="10" fillId="12" borderId="0" xfId="0" applyNumberFormat="1" applyFont="1" applyFill="1" applyBorder="1"/>
    <x:xf numFmtId="200" fontId="10" fillId="12" borderId="0" xfId="0" applyNumberFormat="1" applyFont="1" applyFill="1" applyBorder="1"/>
  </x:cellXfs>
  <x:cellStyles count="1">
    <x:cellStyle name="Normal" xfId="0"/>
  </x:cellStyles>
  <x:dxfs count="2">
    <x:dxf>
      <x:font>
        <x:color rgb="FF991B1B"/>
      </x:font>
      <x:fill>
        <x:patternFill>
          <x:bgColor rgb="FFFDE8E8"/>
        </x:patternFill>
      </x:fill>
    </x:dxf>
    <x:dxf>
      <x:font>
        <x:color rgb="FF166534"/>
      </x:font>
      <x:fill>
        <x:patternFill>
          <x:bgColor rgb="FFE6F5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3b3d5b77f9476a" /><Relationship Type="http://schemas.openxmlformats.org/officeDocument/2006/relationships/theme" Target="/xl/theme/theme1.xml" Id="Rf614867e7f4c4155" /><Relationship Type="http://schemas.openxmlformats.org/officeDocument/2006/relationships/sharedStrings" Target="/xl/sharedStrings.xml" Id="R83db8a03919943dc" /><Relationship Type="http://schemas.openxmlformats.org/officeDocument/2006/relationships/worksheet" Target="/xl/worksheets/sheet1.xml" Id="R8ced92fa235245dd" /><Relationship Type="http://schemas.openxmlformats.org/officeDocument/2006/relationships/worksheet" Target="/xl/worksheets/sheet2.xml" Id="Rbd6fcf5b11ef4be3" /><Relationship Type="http://schemas.openxmlformats.org/officeDocument/2006/relationships/worksheet" Target="/xl/worksheets/sheet3.xml" Id="Rcb3a5e854b8a405b" /><Relationship Type="http://schemas.openxmlformats.org/officeDocument/2006/relationships/worksheet" Target="/xl/worksheets/sheet4.xml" Id="Rbec628f654484410" /><Relationship Type="http://schemas.openxmlformats.org/officeDocument/2006/relationships/worksheet" Target="/xl/worksheets/sheet5.xml" Id="Rc8624a06f9e54467" /><Relationship Type="http://schemas.openxmlformats.org/officeDocument/2006/relationships/worksheet" Target="/xl/worksheets/sheet6.xml" Id="R6e13175654084635" /><Relationship Type="http://schemas.openxmlformats.org/officeDocument/2006/relationships/worksheet" Target="/xl/worksheets/sheet7.xml" Id="R027e08e44a604670" /><Relationship Type="http://schemas.openxmlformats.org/officeDocument/2006/relationships/worksheet" Target="/xl/worksheets/sheet8.xml" Id="R2e94be1bfe1e4f72" /><Relationship Type="http://schemas.openxmlformats.org/officeDocument/2006/relationships/worksheet" Target="/xl/worksheets/sheet9.xml" Id="R962e837040d74216" /><Relationship Type="http://schemas.openxmlformats.org/officeDocument/2006/relationships/worksheet" Target="/xl/worksheets/sheet10.xml" Id="Rcaf4c7539a1744a1" /><Relationship Type="http://schemas.openxmlformats.org/officeDocument/2006/relationships/worksheet" Target="/xl/worksheets/sheet11.xml" Id="Rfa97b184e2594e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" hidden="0" customWidth="1"/>
    <x:col min="2" max="2" width="26" hidden="0" customWidth="1"/>
    <x:col min="3" max="3" width="31" hidden="0" customWidth="1"/>
    <x:col min="4" max="4" width="24" hidden="0" customWidth="1"/>
    <x:col min="5" max="5" width="25" hidden="0" customWidth="1"/>
    <x:col min="6" max="6" width="28" hidden="0" customWidth="1"/>
    <x:col min="7" max="7" width="46" hidden="0" customWidth="1"/>
  </x:cols>
  <x:sheetData>
    <x:row r="2" ht="34" customHeight="1">
      <x:c r="B2" s="5" t="str">
        <x:v>SYSTEM TEST CASE  |  SMARTPARKING</x:v>
      </x:c>
      <x:c r="C2" s="5"/>
      <x:c r="D2" s="5"/>
      <x:c r="E2" s="5"/>
      <x:c r="F2" s="5"/>
      <x:c r="G2" s="5"/>
    </x:row>
    <x:row r="4">
      <x:c r="B4" s="11" t="str">
        <x:v>Project Name</x:v>
      </x:c>
      <x:c r="C4" t="str">
        <x:v>SmartParking</x:v>
      </x:c>
      <x:c r="F4" s="11" t="str">
        <x:v>Creator</x:v>
      </x:c>
      <x:c r="G4" t="str">
        <x:v>QA Team</x:v>
      </x:c>
    </x:row>
    <x:row r="5">
      <x:c r="B5" s="11" t="str">
        <x:v>Project Code</x:v>
      </x:c>
      <x:c r="C5" t="str">
        <x:v>SPARK</x:v>
      </x:c>
      <x:c r="F5" s="11" t="str">
        <x:v>Reviewer / Approver</x:v>
      </x:c>
      <x:c r="G5" t="str">
        <x:v>Pending Leader review</x:v>
      </x:c>
    </x:row>
    <x:row r="6">
      <x:c r="B6" s="11" t="str">
        <x:v>Document Code</x:v>
      </x:c>
      <x:c r="C6" t="str">
        <x:v>SPARK_Payment_Master_TestCases_v1.0</x:v>
      </x:c>
      <x:c r="F6" s="11" t="str">
        <x:v>Issue Date</x:v>
      </x:c>
      <x:c r="G6" t="str">
        <x:v>2026-10-28</x:v>
      </x:c>
    </x:row>
    <x:row r="7">
      <x:c r="B7" s="11" t="str">
        <x:v>Service / ownership</x:v>
      </x:c>
      <x:c r="C7" t="str">
        <x:v>Payment</x:v>
      </x:c>
      <x:c r="F7" s="11" t="str">
        <x:v>Version</x:v>
      </x:c>
      <x:c r="G7" t="str">
        <x:v>1.1 REVIEW</x:v>
      </x:c>
    </x:row>
    <x:row r="10">
      <x:c r="B10" s="14" t="str">
        <x:v>Record of change</x:v>
      </x:c>
    </x:row>
    <x:row r="11" ht="35" customHeight="1">
      <x:c r="B11" s="20" t="str">
        <x:v>Effective Date</x:v>
      </x:c>
      <x:c r="C11" s="20" t="str">
        <x:v>Version</x:v>
      </x:c>
      <x:c r="D11" s="20" t="str">
        <x:v>Change Item</x:v>
      </x:c>
      <x:c r="E11" s="20" t="str">
        <x:v>A,D,M</x:v>
      </x:c>
      <x:c r="F11" s="20" t="str">
        <x:v>Change description</x:v>
      </x:c>
      <x:c r="G11" s="20" t="str">
        <x:v>Reference</x:v>
      </x:c>
    </x:row>
    <x:row r="12" ht="52" customHeight="1">
      <x:c r="B12" s="26" t="str">
        <x:v>2026-10-28</x:v>
      </x:c>
      <x:c r="C12" s="26" t="str">
        <x:v>1.0</x:v>
      </x:c>
      <x:c r="D12" s="26" t="str">
        <x:v>Create shared master</x:v>
      </x:c>
      <x:c r="E12" s="26" t="str">
        <x:v>A</x:v>
      </x:c>
      <x:c r="F12" s="26" t="str">
        <x:v>One persistent workbook per service; append QA tests over time.</x:v>
      </x:c>
      <x:c r="G12" s="26" t="str">
        <x:v>Mentor TestTeam_UAT.xlsx</x:v>
      </x:c>
    </x:row>
    <x:row r="13">
      <x:c r="B13" t="str">
        <x:v>2026-10-28</x:v>
      </x:c>
      <x:c r="C13" t="str">
        <x:v>1.1</x:v>
      </x:c>
      <x:c r="D13" t="str">
        <x:v>Migrate historical PR7 QA</x:v>
      </x:c>
      <x:c r="E13" t="str">
        <x:v>A</x:v>
      </x:c>
      <x:c r="F13" t="str">
        <x:v>19 cases + xUnit summary; preserve baseline and gap</x:v>
      </x:c>
      <x:c r="G13" t="str">
        <x:v>PR7_QA_Test_Report.xlsx</x:v>
      </x:c>
    </x:row>
    <x:row r="14">
      <x:c r="B14" t="str">
        <x:v>Quy tắc: ghi theo service gốc gọi đầu tiên; không nhân đôi test liên service.</x:v>
      </x:c>
    </x:row>
    <x:row r="15">
      <x:c r="B15" t="str">
        <x:v>Không thay thế dữ liệu cũ khi cập nhật task mới; bảo toàn lịch sử test và baseline.</x:v>
      </x:c>
    </x:row>
    <x:row r="16">
      <x:c r="B16" t="str">
        <x:v>Chưa được Leader phê duyệt. Đối chiếu docs repo trước khi commit.</x:v>
      </x:c>
    </x:row>
  </x:sheetData>
  <x:mergeCells>
    <x:mergeCell ref="B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0" topLeftCell="A11" activePane="bottomLeft" state="frozen"/>
    </x:sheetView>
  </x:sheetViews>
  <x:sheetFormatPr defaultRowHeight="15"/>
  <x:cols>
    <x:col min="1" max="1" width="4" hidden="0" customWidth="1"/>
    <x:col min="2" max="2" width="25" hidden="0" customWidth="1"/>
    <x:col min="3" max="3" width="48" hidden="0" customWidth="1"/>
    <x:col min="4" max="4" width="13" hidden="0" customWidth="1"/>
    <x:col min="5" max="5" width="13" hidden="0" customWidth="1"/>
    <x:col min="6" max="6" width="16" hidden="0" customWidth="1"/>
    <x:col min="7" max="7" width="14" hidden="0" customWidth="1"/>
    <x:col min="8" max="8" width="22" hidden="0" customWidth="1"/>
    <x:col min="9" max="9" width="23" hidden="0" customWidth="1"/>
    <x:col min="10" max="10" width="17" hidden="0" customWidth="1"/>
  </x:cols>
  <x:sheetData>
    <x:row r="1" ht="34" customHeight="1">
      <x:c r="B1" s="5" t="str">
        <x:v>TEST REPORT  |  PAYMENT</x:v>
      </x:c>
      <x:c r="C1" s="5"/>
      <x:c r="D1" s="5"/>
      <x:c r="E1" s="5"/>
      <x:c r="F1" s="5"/>
      <x:c r="G1" s="5"/>
      <x:c r="H1" s="5"/>
      <x:c r="I1" s="5"/>
      <x:c r="J1" s="5"/>
    </x:row>
    <x:row r="3">
      <x:c r="B3" s="11" t="str">
        <x:v>Project Name</x:v>
      </x:c>
      <x:c r="C3" t="str">
        <x:v>SmartParking</x:v>
      </x:c>
      <x:c r="F3" s="11" t="str">
        <x:v>Creator</x:v>
      </x:c>
      <x:c r="G3" t="str">
        <x:v>QA Team</x:v>
      </x:c>
    </x:row>
    <x:row r="4">
      <x:c r="B4" s="11" t="str">
        <x:v>Project Code</x:v>
      </x:c>
      <x:c r="C4" t="str">
        <x:v>SPARK</x:v>
      </x:c>
      <x:c r="F4" s="11" t="str">
        <x:v>Reviewer</x:v>
      </x:c>
      <x:c r="G4" t="str">
        <x:v>Pending</x:v>
      </x:c>
    </x:row>
    <x:row r="5">
      <x:c r="B5" s="11" t="str">
        <x:v>Document Code</x:v>
      </x:c>
      <x:c r="C5" t="str">
        <x:v>SPARK_Payment_Master_TestCases_v1.0</x:v>
      </x:c>
      <x:c r="F5" s="11" t="str">
        <x:v>Last updated</x:v>
      </x:c>
      <x:c r="G5" t="str">
        <x:v>2026-10-28</x:v>
      </x:c>
    </x:row>
    <x:row r="6">
      <x:c r="B6" s="11" t="str">
        <x:v>Notes</x:v>
      </x:c>
      <x:c r="C6" t="str">
        <x:v>Master test cases; Unit/DI assertions are reported in Word only.</x:v>
      </x:c>
      <x:c r="F6" t="str">
        <x:v>Master includes historical PR7 (27/10) + PR14 (27/10), differing SHAs; Unit tests excluded from QA totals.</x:v>
      </x:c>
    </x:row>
    <x:row r="10" ht="35" customHeight="1">
      <x:c r="B10" s="20" t="str">
        <x:v>No</x:v>
      </x:c>
      <x:c r="C10" s="20" t="str">
        <x:v>Module code</x:v>
      </x:c>
      <x:c r="D10" s="20" t="str">
        <x:v>Pass</x:v>
      </x:c>
      <x:c r="E10" s="20" t="str">
        <x:v>Fail</x:v>
      </x:c>
      <x:c r="F10" s="20" t="str">
        <x:v>Untested</x:v>
      </x:c>
      <x:c r="G10" s="20" t="str">
        <x:v>N/A</x:v>
      </x:c>
      <x:c r="H10" s="20" t="str">
        <x:v>Number of test cases</x:v>
      </x:c>
      <x:c r="I10" s="20" t="str">
        <x:v>% Passed of tests</x:v>
      </x:c>
      <x:c r="J10" s="20" t="str">
        <x:v>Blocked</x:v>
      </x:c>
    </x:row>
    <x:row r="11">
      <x:c r="B11" t="n">
        <x:v>1</x:v>
      </x:c>
      <x:c r="C11" t="str">
        <x:v>Payment_API_Smoke</x:v>
      </x:c>
      <x:c r="D11" t="n">
        <x:f>'Payment_API_Smoke'!C6</x:f>
        <x:v>8</x:v>
      </x:c>
      <x:c r="E11" t="n">
        <x:f>'Payment_API_Smoke'!D6</x:f>
        <x:v>0</x:v>
      </x:c>
      <x:c r="F11" t="n">
        <x:f>'Payment_API_Smoke'!E6</x:f>
        <x:v>0</x:v>
      </x:c>
      <x:c r="G11" t="n">
        <x:f>'Payment_API_Smoke'!F6</x:f>
        <x:v>0</x:v>
      </x:c>
      <x:c r="H11" t="n">
        <x:f>'Payment_API_Smoke'!G6</x:f>
        <x:v>8</x:v>
      </x:c>
      <x:c r="I11" s="32" t="n">
        <x:f>IF(H11=0,0,D11/H11)</x:f>
        <x:v>1</x:v>
      </x:c>
      <x:c r="J11" t="n">
        <x:f>'Payment_API_Smoke'!H6</x:f>
        <x:v>0</x:v>
      </x:c>
    </x:row>
    <x:row r="12">
      <x:c r="B12" t="n">
        <x:v>2</x:v>
      </x:c>
      <x:c r="C12" t="str">
        <x:v>Payment_Checkout</x:v>
      </x:c>
      <x:c r="D12" t="n">
        <x:f>'Payment_Checkout'!C6</x:f>
        <x:v>3</x:v>
      </x:c>
      <x:c r="E12" t="n">
        <x:f>'Payment_Checkout'!D6</x:f>
        <x:v>0</x:v>
      </x:c>
      <x:c r="F12" t="n">
        <x:f>'Payment_Checkout'!E6</x:f>
        <x:v>0</x:v>
      </x:c>
      <x:c r="G12" t="n">
        <x:f>'Payment_Checkout'!F6</x:f>
        <x:v>0</x:v>
      </x:c>
      <x:c r="H12" t="n">
        <x:f>'Payment_Checkout'!G6</x:f>
        <x:v>3</x:v>
      </x:c>
      <x:c r="I12" s="32" t="n">
        <x:f>IF(H12=0,0,D12/H12)</x:f>
        <x:v>1</x:v>
      </x:c>
      <x:c r="J12" t="n">
        <x:f>'Payment_Checkout'!H6</x:f>
        <x:v>0</x:v>
      </x:c>
    </x:row>
    <x:row r="13">
      <x:c r="B13" t="n">
        <x:v>3</x:v>
      </x:c>
      <x:c r="C13" t="str">
        <x:v>Payment_Integration</x:v>
      </x:c>
      <x:c r="D13" t="n">
        <x:f>'Payment_Integration'!C6</x:f>
        <x:v>0</x:v>
      </x:c>
      <x:c r="E13" t="n">
        <x:f>'Payment_Integration'!D6</x:f>
        <x:v>0</x:v>
      </x:c>
      <x:c r="F13" t="n">
        <x:f>'Payment_Integration'!E6</x:f>
        <x:v>0</x:v>
      </x:c>
      <x:c r="G13" t="n">
        <x:f>'Payment_Integration'!F6</x:f>
        <x:v>0</x:v>
      </x:c>
      <x:c r="H13" t="n">
        <x:f>'Payment_Integration'!G6</x:f>
        <x:v>1</x:v>
      </x:c>
      <x:c r="I13" s="32" t="n">
        <x:f>IF(H13=0,0,D13/H13)</x:f>
        <x:v>0</x:v>
      </x:c>
      <x:c r="J13" t="n">
        <x:f>'Payment_Integration'!H6</x:f>
        <x:v>1</x:v>
      </x:c>
    </x:row>
    <x:row r="14">
      <x:c r="B14" t="n">
        <x:v>4</x:v>
      </x:c>
      <x:c r="C14" t="str">
        <x:v>Payment_Status</x:v>
      </x:c>
      <x:c r="D14" t="n">
        <x:f>'Payment_Status'!C6</x:f>
        <x:v>0</x:v>
      </x:c>
      <x:c r="E14" t="n">
        <x:f>'Payment_Status'!D6</x:f>
        <x:v>0</x:v>
      </x:c>
      <x:c r="F14" t="n">
        <x:f>'Payment_Status'!E6</x:f>
        <x:v>1</x:v>
      </x:c>
      <x:c r="G14" t="n">
        <x:f>'Payment_Status'!F6</x:f>
        <x:v>0</x:v>
      </x:c>
      <x:c r="H14" t="n">
        <x:f>'Payment_Status'!G6</x:f>
        <x:v>1</x:v>
      </x:c>
      <x:c r="I14" s="32" t="n">
        <x:f>IF(H14=0,0,D14/H14)</x:f>
        <x:v>0</x:v>
      </x:c>
      <x:c r="J14" t="n">
        <x:f>'Payment_Status'!H6</x:f>
        <x:v>0</x:v>
      </x:c>
    </x:row>
    <x:row r="15">
      <x:c r="B15" t="n">
        <x:v>5</x:v>
      </x:c>
      <x:c r="C15" t="str">
        <x:v>Payment_Webhook</x:v>
      </x:c>
      <x:c r="D15" t="n">
        <x:f>'Payment_Webhook'!C6</x:f>
        <x:v>1</x:v>
      </x:c>
      <x:c r="E15" t="n">
        <x:f>'Payment_Webhook'!D6</x:f>
        <x:v>1</x:v>
      </x:c>
      <x:c r="F15" t="n">
        <x:f>'Payment_Webhook'!E6</x:f>
        <x:v>3</x:v>
      </x:c>
      <x:c r="G15" t="n">
        <x:f>'Payment_Webhook'!F6</x:f>
        <x:v>0</x:v>
      </x:c>
      <x:c r="H15" t="n">
        <x:f>'Payment_Webhook'!G6</x:f>
        <x:v>5</x:v>
      </x:c>
      <x:c r="I15" s="32" t="n">
        <x:f>IF(H15=0,0,D15/H15)</x:f>
        <x:v>0.2</x:v>
      </x:c>
      <x:c r="J15" t="n">
        <x:f>'Payment_Webhook'!H6</x:f>
        <x:v>0</x:v>
      </x:c>
    </x:row>
    <x:row r="16">
      <x:c r="B16" t="n">
        <x:v>6</x:v>
      </x:c>
      <x:c r="C16" s="29" t="str">
        <x:v>PR7_Pricing_QA</x:v>
      </x:c>
      <x:c r="D16" s="29" t="n">
        <x:v>18</x:v>
      </x:c>
      <x:c r="E16" s="29" t="n">
        <x:v>1</x:v>
      </x:c>
      <x:c r="F16" s="29" t="n">
        <x:v>0</x:v>
      </x:c>
      <x:c r="G16" s="29" t="n">
        <x:v>0</x:v>
      </x:c>
      <x:c r="H16" s="29" t="n">
        <x:v>19</x:v>
      </x:c>
      <x:c r="I16" s="33" t="n">
        <x:f>IFERROR(D16/H16,0)</x:f>
        <x:v>0.9473684210526315</x:v>
      </x:c>
      <x:c r="J16" s="29" t="n">
        <x:v>0</x:v>
      </x:c>
    </x:row>
    <x:row r="17">
      <x:c r="B17" s="76"/>
      <x:c r="C17" s="76" t="str">
        <x:v>Sub total</x:v>
      </x:c>
      <x:c r="D17" s="76" t="n">
        <x:f>SUM(D11:D16)</x:f>
        <x:v>30</x:v>
      </x:c>
      <x:c r="E17" s="76" t="n">
        <x:f>SUM(E11:E16)</x:f>
        <x:v>2</x:v>
      </x:c>
      <x:c r="F17" s="76" t="n">
        <x:f>SUM(F11:F16)</x:f>
        <x:v>4</x:v>
      </x:c>
      <x:c r="G17" s="76" t="n">
        <x:f>SUM(G11:G16)</x:f>
        <x:v>0</x:v>
      </x:c>
      <x:c r="H17" s="76" t="n">
        <x:f>SUM(H11:H16)</x:f>
        <x:v>37</x:v>
      </x:c>
      <x:c r="I17" s="77" t="n">
        <x:f>IFERROR(D17/H17,0)</x:f>
        <x:v>0.8108108108108109</x:v>
      </x:c>
      <x:c r="J17" s="76" t="n">
        <x:f>SUM(J11:J16)</x:f>
        <x:v>1</x:v>
      </x:c>
    </x:row>
    <x:row r="22">
      <x:c r="B22" t="str">
        <x:v>QA execution coverage</x:v>
      </x:c>
      <x:c r="C22" s="32" t="n">
        <x:f>IFERROR((D17+E17)/H17,0)</x:f>
        <x:v>0.8648648648648649</x:v>
      </x:c>
    </x:row>
    <x:row r="23">
      <x:c r="B23" t="str">
        <x:v>Status / sign-off</x:v>
      </x:c>
      <x:c r="C23" t="str">
        <x:v>QA HOLD (historical mixed baselines): PR14 SPARK-313; PR7 string-enum failure SPARK-311. No real-provider E2E sign-off.</x:v>
      </x:c>
    </x:row>
    <x:row r="25">
      <x:c r="B25" t="str">
        <x:v>Notes</x:v>
      </x:c>
      <x:c r="C25" t="str">
        <x:v>Blocked is shown separately; Unit Tests do NOT inflate QA case counts.</x:v>
      </x:c>
    </x:row>
    <x:row r="26">
      <x:c r="B26" t="str">
        <x:v>Source</x:v>
      </x:c>
      <x:c r="C26" t="str">
        <x:v>Mentor TestTeam_UAT format; PR14 verified QA output; PR7 historical Word/Excel 2026-10-27. Raw PR7 console not in ZIP.</x:v>
      </x:c>
    </x:row>
    <x:row r="28" ht="35" customHeight="1">
      <x:c r="B28" t="str">
        <x:v>UNIT TEST (reference only)</x:v>
      </x:c>
      <x:c r="C28" s="20" t="str">
        <x:v>Passed</x:v>
      </x:c>
      <x:c r="D28" s="20" t="str">
        <x:v>Failed</x:v>
      </x:c>
      <x:c r="E28" s="20" t="str">
        <x:v>Skipped</x:v>
      </x:c>
      <x:c r="F28" s="20" t="str">
        <x:v>Execution</x:v>
      </x:c>
    </x:row>
    <x:row r="29">
      <x:c r="B29" t="str">
        <x:v>SPARK-252 / PR14</x:v>
      </x:c>
      <x:c r="C29" t="n">
        <x:v>80</x:v>
      </x:c>
      <x:c r="D29" t="n">
        <x:v>0</x:v>
      </x:c>
      <x:c r="E29" t="n">
        <x:v>0</x:v>
      </x:c>
      <x:c r="F29" t="str">
        <x:v>Developer xUnit rerun / .NET 10</x:v>
      </x:c>
    </x:row>
    <x:row r="30">
      <x:c r="B30" t="str">
        <x:v>PR7 / SPARK-314 (QA)</x:v>
      </x:c>
      <x:c r="C30" t="n">
        <x:v>42</x:v>
      </x:c>
      <x:c r="D30" t="n">
        <x:v>0</x:v>
      </x:c>
      <x:c r="E30" t="n">
        <x:v>0</x:v>
      </x:c>
      <x:c r="F30" t="str">
        <x:v>Developer xUnit rerun / .NET 10; baseline fe13d7ce</x:v>
      </x:c>
    </x:row>
    <x:row r="31">
      <x:c r="B31" t="str">
        <x:v>Do not add Unit Tests above to QA Pass column.</x:v>
      </x:c>
    </x:row>
  </x:sheetData>
  <x:mergeCells>
    <x:mergeCell ref="B1:J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8" topLeftCell="A9" activePane="bottomLeft" state="frozen"/>
    </x:sheetView>
  </x:sheetViews>
  <x:sheetFormatPr defaultRowHeight="15"/>
  <x:cols>
    <x:col min="1" max="1" width="4" hidden="0" customWidth="1"/>
    <x:col min="2" max="2" width="13" hidden="0" customWidth="1"/>
    <x:col min="3" max="3" width="34" hidden="0" customWidth="1"/>
    <x:col min="4" max="4" width="34" hidden="0" customWidth="1"/>
    <x:col min="5" max="5" width="55" hidden="0" customWidth="1"/>
    <x:col min="6" max="6" width="46" hidden="0" customWidth="1"/>
  </x:cols>
  <x:sheetData>
    <x:row r="1" ht="34" customHeight="1">
      <x:c r="B1" s="5" t="str">
        <x:v>TEST CASE LIST  |  PAYMENT</x:v>
      </x:c>
      <x:c r="C1" s="5"/>
      <x:c r="D1" s="5"/>
      <x:c r="E1" s="5"/>
      <x:c r="F1" s="5"/>
    </x:row>
    <x:row r="3">
      <x:c r="B3" s="11" t="str">
        <x:v>Project Name</x:v>
      </x:c>
      <x:c r="C3"/>
      <x:c r="D3" t="str">
        <x:v>SmartParking</x:v>
      </x:c>
    </x:row>
    <x:row r="4">
      <x:c r="B4" s="11" t="str">
        <x:v>Project Code</x:v>
      </x:c>
      <x:c r="C4"/>
      <x:c r="D4" t="str">
        <x:v>SPARK</x:v>
      </x:c>
    </x:row>
    <x:row r="5">
      <x:c r="B5" s="11" t="str">
        <x:v>Test Environment Setup Description</x:v>
      </x:c>
      <x:c r="C5"/>
      <x:c r="D5" t="str">
        <x:v>Windows 11; .NET 10 / QA mock; PostgreSQL 16 (only where verified)</x:v>
      </x:c>
    </x:row>
    <x:row r="8" ht="35" customHeight="1">
      <x:c r="B8" s="20" t="str">
        <x:v>No</x:v>
      </x:c>
      <x:c r="C8" s="20" t="str">
        <x:v>Function Name</x:v>
      </x:c>
      <x:c r="D8" s="20" t="str">
        <x:v>Sheet Name</x:v>
      </x:c>
      <x:c r="E8" s="20" t="str">
        <x:v>Description</x:v>
      </x:c>
      <x:c r="F8" s="20" t="str">
        <x:v>Pre-Condition</x:v>
      </x:c>
    </x:row>
    <x:row r="9">
      <x:c r="B9" t="n">
        <x:v>1</x:v>
      </x:c>
      <x:c r="C9" t="str">
        <x:v>Payment_API_Smoke</x:v>
      </x:c>
      <x:c r="D9" s="26" t="str">
        <x:v>Payment_API_Smoke</x:v>
      </x:c>
      <x:c r="E9" s="26" t="str">
        <x:v>API auth / validation smoke</x:v>
      </x:c>
      <x:c r="F9" s="26" t="str">
        <x:v>Local mock PaymentService; request data</x:v>
      </x:c>
    </x:row>
    <x:row r="10">
      <x:c r="B10" t="n">
        <x:v>2</x:v>
      </x:c>
      <x:c r="C10" t="str">
        <x:v>Payment_Checkout</x:v>
      </x:c>
      <x:c r="D10" s="26" t="str">
        <x:v>Payment_Checkout</x:v>
      </x:c>
      <x:c r="E10" s="26" t="str">
        <x:v>Checkout / idempotency / persistence</x:v>
      </x:c>
      <x:c r="F10" s="26" t="str">
        <x:v>QA pending order and PostgreSQL</x:v>
      </x:c>
    </x:row>
    <x:row r="11">
      <x:c r="B11" t="n">
        <x:v>3</x:v>
      </x:c>
      <x:c r="C11" t="str">
        <x:v>Payment_Integration</x:v>
      </x:c>
      <x:c r="D11" s="26" t="str">
        <x:v>Payment_Integration</x:v>
      </x:c>
      <x:c r="E11" s="26" t="str">
        <x:v>Reservation pricing snapshot → Payment</x:v>
      </x:c>
      <x:c r="F11" s="26" t="str">
        <x:v>Reservation service integration available</x:v>
      </x:c>
    </x:row>
    <x:row r="12">
      <x:c r="B12" t="n">
        <x:v>4</x:v>
      </x:c>
      <x:c r="C12" t="str">
        <x:v>Payment_Status</x:v>
      </x:c>
      <x:c r="D12" s="26" t="str">
        <x:v>Payment_Status</x:v>
      </x:c>
      <x:c r="E12" s="26" t="str">
        <x:v>Transaction status / reconciliation</x:v>
      </x:c>
      <x:c r="F12" s="26" t="str">
        <x:v>Success transaction with verified provider</x:v>
      </x:c>
    </x:row>
    <x:row r="13">
      <x:c r="B13" t="n">
        <x:v>5</x:v>
      </x:c>
      <x:c r="C13" t="str">
        <x:v>Payment_Webhook</x:v>
      </x:c>
      <x:c r="D13" s="26" t="str">
        <x:v>Payment_Webhook</x:v>
      </x:c>
      <x:c r="E13" s="26" t="str">
        <x:v>HMAC, amount mismatch, replay and settlement</x:v>
      </x:c>
      <x:c r="F13" s="26" t="str">
        <x:v>QA HMAC payload and pending payment</x:v>
      </x:c>
    </x:row>
    <x:row r="14" ht="28" customHeight="1">
      <x:c r="B14" s="26" t="n">
        <x:v>6</x:v>
      </x:c>
      <x:c r="C14" s="26" t="str">
        <x:v>PR7_Pricing_QA</x:v>
      </x:c>
      <x:c r="D14" s="26" t="str">
        <x:v>PR7_Pricing_QA</x:v>
      </x:c>
      <x:c r="E14" s="26" t="str">
        <x:v>19 API/DB/mocked Reservation QA cases from PR7</x:v>
      </x:c>
      <x:c r="F14" s="26" t="str">
        <x:v>PaymentService API/QA DB; isolated Reservation mock</x:v>
      </x:c>
    </x:row>
  </x:sheetData>
  <x:mergeCells>
    <x:mergeCell ref="B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9" topLeftCell="A10" activePane="bottomLeft" state="frozen"/>
    </x:sheetView>
  </x:sheetViews>
  <x:sheetFormatPr defaultRowHeight="15"/>
  <x:cols>
    <x:col min="2" max="2" width="19" hidden="0" customWidth="1"/>
    <x:col min="3" max="3" width="37" hidden="0" customWidth="1"/>
    <x:col min="4" max="4" width="42" hidden="0" customWidth="1"/>
    <x:col min="5" max="5" width="44" hidden="0" customWidth="1"/>
    <x:col min="6" max="6" width="23" hidden="0" customWidth="1"/>
    <x:col min="7" max="7" width="14" hidden="0" customWidth="1"/>
    <x:col min="8" max="8" width="16" hidden="0" customWidth="1"/>
    <x:col min="9" max="9" width="18" hidden="0" customWidth="1"/>
    <x:col min="10" max="10" width="15" hidden="0" customWidth="1"/>
    <x:col min="11" max="11" width="11" hidden="0" customWidth="1"/>
    <x:col min="12" max="12" width="14" hidden="0" customWidth="1"/>
    <x:col min="13" max="13" width="56" hidden="0" customWidth="1"/>
    <x:col min="14" max="14" width="16" hidden="0" customWidth="1"/>
    <x:col min="15" max="15" width="21" hidden="0" customWidth="1"/>
    <x:col min="16" max="16" width="44" hidden="0" customWidth="1"/>
    <x:col min="17" max="17" width="23" hidden="0" customWidth="1"/>
  </x:cols>
  <x:sheetData>
    <x:row r="1" ht="34" customHeight="1">
      <x:c r="B1" s="5" t="str">
        <x:v>SMART PARKING  |  Payment_API_Smoke</x:v>
      </x:c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</x:row>
    <x:row r="2">
      <x:c r="B2" s="11" t="str">
        <x:v>Module Code</x:v>
      </x:c>
      <x:c r="C2" t="str">
        <x:v>Payment_API_Smoke</x:v>
      </x:c>
    </x:row>
    <x:row r="3">
      <x:c r="B3" s="11" t="str">
        <x:v>Test requirement</x:v>
      </x:c>
      <x:c r="C3" t="str">
        <x:v>SPARK-252 | US-D02 | Jira SPARK-247</x:v>
      </x:c>
    </x:row>
    <x:row r="4">
      <x:c r="B4" s="11" t="str">
        <x:v>Reference Document</x:v>
      </x:c>
      <x:c r="C4" t="str">
        <x:v>Jira SPARK-252; PR #14; commit 5995394ef27c</x:v>
      </x:c>
    </x:row>
    <x:row r="5" ht="35" customHeight="1">
      <x:c r="B5" s="20" t="str">
        <x:v>% Passed of tests</x:v>
      </x:c>
      <x:c r="C5" s="20" t="str">
        <x:v>Pass</x:v>
      </x:c>
      <x:c r="D5" s="20" t="str">
        <x:v>Fail</x:v>
      </x:c>
      <x:c r="E5" s="20" t="str">
        <x:v>Untested</x:v>
      </x:c>
      <x:c r="F5" s="20" t="str">
        <x:v>N/A</x:v>
      </x:c>
      <x:c r="G5" s="20" t="str">
        <x:v>Number of Test cases</x:v>
      </x:c>
      <x:c r="H5" s="20" t="str">
        <x:v>Blocked</x:v>
      </x:c>
    </x:row>
    <x:row r="6">
      <x:c r="B6" s="39" t="n">
        <x:f>IF(G6=0,0,C6/G6)</x:f>
        <x:v>1</x:v>
      </x:c>
      <x:c r="C6" s="40" t="n">
        <x:f>COUNTIF(G10:G250,"Pass")</x:f>
        <x:v>8</x:v>
      </x:c>
      <x:c r="D6" s="40" t="n">
        <x:f>COUNTIF(G10:G250,"Fail")</x:f>
        <x:v>0</x:v>
      </x:c>
      <x:c r="E6" s="40" t="n">
        <x:f>COUNTIF(G10:G250,"Untested")</x:f>
        <x:v>0</x:v>
      </x:c>
      <x:c r="F6" s="40" t="n">
        <x:f>COUNTIF(G10:G250,"N/A")</x:f>
        <x:v>0</x:v>
      </x:c>
      <x:c r="G6" s="40" t="n">
        <x:f>COUNTA(B10:B250)</x:f>
        <x:v>8</x:v>
      </x:c>
      <x:c r="H6" s="40" t="n">
        <x:f>COUNTIF(G10:G250,"Blocked")</x:f>
        <x:v>0</x:v>
      </x:c>
    </x:row>
    <x:row r="8">
      <x:c r="B8" s="52" t="str">
        <x:v>Định dạng theo bảng test case của Mentor: kết quả QA riêng; Unit Test chỉ tổng hợp trong báo cáo.</x:v>
      </x:c>
      <x:c r="C8" s="52"/>
      <x:c r="D8" s="52"/>
      <x:c r="E8" s="52"/>
      <x:c r="F8" s="52"/>
      <x:c r="G8" s="52"/>
      <x:c r="H8" s="52"/>
      <x:c r="I8" s="52"/>
      <x:c r="J8" s="52"/>
      <x:c r="K8" s="52"/>
      <x:c r="L8" s="52"/>
      <x:c r="M8" s="52"/>
      <x:c r="N8" s="52"/>
      <x:c r="O8" s="52"/>
      <x:c r="P8" s="52"/>
      <x:c r="Q8" s="52"/>
    </x:row>
    <x:row r="9" ht="35" customHeight="1">
      <x:c r="B9" s="20" t="str">
        <x:v>ID</x:v>
      </x:c>
      <x:c r="C9" s="20" t="str">
        <x:v>Test Case Description</x:v>
      </x:c>
      <x:c r="D9" s="20" t="str">
        <x:v>Test Case Procedure</x:v>
      </x:c>
      <x:c r="E9" s="20" t="str">
        <x:v>Expected Results</x:v>
      </x:c>
      <x:c r="F9" s="20" t="str">
        <x:v>Inter-test case Dependence</x:v>
      </x:c>
      <x:c r="G9" s="20" t="str">
        <x:v>Result</x:v>
      </x:c>
      <x:c r="H9" s="20" t="str">
        <x:v>Test date</x:v>
      </x:c>
      <x:c r="I9" s="20" t="str">
        <x:v>Tester</x:v>
      </x:c>
      <x:c r="J9" s="20" t="str">
        <x:v>Number of tests</x:v>
      </x:c>
      <x:c r="K9" s="20" t="str">
        <x:v>Passed</x:v>
      </x:c>
      <x:c r="L9" s="20" t="str">
        <x:v>% Passed</x:v>
      </x:c>
      <x:c r="M9" s="20" t="str">
        <x:v>Note / Actual</x:v>
      </x:c>
      <x:c r="N9" s="20" t="str">
        <x:v>Testing Jira</x:v>
      </x:c>
      <x:c r="O9" s="20" t="str">
        <x:v>Baseline commit</x:v>
      </x:c>
      <x:c r="P9" s="20" t="str">
        <x:v>Evidence</x:v>
      </x:c>
      <x:c r="Q9" s="20" t="str">
        <x:v>Scenario type</x:v>
      </x:c>
    </x:row>
    <x:row r="10" ht="76" customHeight="1">
      <x:c r="B10" s="50" t="str">
        <x:v>[HTTP-01]</x:v>
      </x:c>
      <x:c r="C10" s="26" t="str">
        <x:v>OpenAPI Development</x:v>
      </x:c>
      <x:c r="D10" s="26" t="str">
        <x:v>1. Xác minh contract, precondition và dữ liệu QA.
2. Thực hiện case HTTP-01 qua GET /openapi/v1.json.
3. Kiểm tra HTTP/response và DB khi phù hợp.</x:v>
      </x:c>
      <x:c r="E10" s="26" t="str">
        <x:v>GET /openapi/v1.json → 200</x:v>
      </x:c>
      <x:c r="F10" s="26" t="str">
        <x:v>N/A</x:v>
      </x:c>
      <x:c r="G10" s="48" t="str">
        <x:v>Pass</x:v>
      </x:c>
      <x:c r="H10" s="26" t="str">
        <x:v>2026-10-27</x:v>
      </x:c>
      <x:c r="I10" s="26" t="str">
        <x:v>QA Tester</x:v>
      </x:c>
      <x:c r="J10" s="26" t="n">
        <x:v>1</x:v>
      </x:c>
      <x:c r="K10" s="26" t="n">
        <x:v>1</x:v>
      </x:c>
      <x:c r="L10" s="46" t="n">
        <x:v>1</x:v>
      </x:c>
      <x:c r="M10" s="26" t="str">
        <x:v>HTTP 200 sau retest curl + PowerShell</x:v>
      </x:c>
      <x:c r="N10" s="26" t="str">
        <x:v>SPARK-252</x:v>
      </x:c>
      <x:c r="O10" s="26" t="str">
        <x:v>5995394ef27c</x:v>
      </x:c>
      <x:c r="P10" s="26" t="str">
        <x:v>QA console / Step 8 / 20261027-070837</x:v>
      </x:c>
      <x:c r="Q10" s="26" t="str">
        <x:v>API / HTTP negative or smoke</x:v>
      </x:c>
    </x:row>
    <x:row r="11" ht="76" customHeight="1">
      <x:c r="B11" s="50" t="str">
        <x:v>[HTTP-02]</x:v>
      </x:c>
      <x:c r="C11" s="26" t="str">
        <x:v>Checkout chưa xác thực</x:v>
      </x:c>
      <x:c r="D11" s="26" t="str">
        <x:v>1. Xác minh contract, precondition và dữ liệu QA.
2. Thực hiện case HTTP-02 qua POST /api/v1/payments/orders/{orderId}/checkout.
3. Kiểm tra HTTP/response và DB khi phù hợp.</x:v>
      </x:c>
      <x:c r="E11" s="26" t="str">
        <x:v>POST checkout không token → 401</x:v>
      </x:c>
      <x:c r="F11" s="26" t="str">
        <x:v>N/A</x:v>
      </x:c>
      <x:c r="G11" s="48" t="str">
        <x:v>Pass</x:v>
      </x:c>
      <x:c r="H11" s="26" t="str">
        <x:v>2026-10-27</x:v>
      </x:c>
      <x:c r="I11" s="26" t="str">
        <x:v>QA Tester</x:v>
      </x:c>
      <x:c r="J11" s="26" t="n">
        <x:v>1</x:v>
      </x:c>
      <x:c r="K11" s="26" t="n">
        <x:v>1</x:v>
      </x:c>
      <x:c r="L11" s="46" t="n">
        <x:v>1</x:v>
      </x:c>
      <x:c r="M11" s="26" t="str">
        <x:v>HTTP 401</x:v>
      </x:c>
      <x:c r="N11" s="26" t="str">
        <x:v>SPARK-252</x:v>
      </x:c>
      <x:c r="O11" s="26" t="str">
        <x:v>5995394ef27c</x:v>
      </x:c>
      <x:c r="P11" s="26" t="str">
        <x:v>QA console / Step 7 / 20261027-070531</x:v>
      </x:c>
      <x:c r="Q11" s="26" t="str">
        <x:v>API / HTTP negative or smoke</x:v>
      </x:c>
    </x:row>
    <x:row r="12" ht="76" customHeight="1">
      <x:c r="B12" s="50" t="str">
        <x:v>[HTTP-03]</x:v>
      </x:c>
      <x:c r="C12" s="26" t="str">
        <x:v>Payment Status chưa xác thực</x:v>
      </x:c>
      <x:c r="D12" s="26" t="str">
        <x:v>1. Xác minh contract, precondition và dữ liệu QA.
2. Thực hiện case HTTP-03 qua GET /api/v1/payments/transactions/{transactionId}/status.
3. Kiểm tra HTTP/response và DB khi phù hợp.</x:v>
      </x:c>
      <x:c r="E12" s="26" t="str">
        <x:v>GET transaction/status không token → 401</x:v>
      </x:c>
      <x:c r="F12" s="26" t="str">
        <x:v>N/A</x:v>
      </x:c>
      <x:c r="G12" s="48" t="str">
        <x:v>Pass</x:v>
      </x:c>
      <x:c r="H12" s="26" t="str">
        <x:v>2026-10-27</x:v>
      </x:c>
      <x:c r="I12" s="26" t="str">
        <x:v>QA Tester</x:v>
      </x:c>
      <x:c r="J12" s="26" t="n">
        <x:v>1</x:v>
      </x:c>
      <x:c r="K12" s="26" t="n">
        <x:v>1</x:v>
      </x:c>
      <x:c r="L12" s="46" t="n">
        <x:v>1</x:v>
      </x:c>
      <x:c r="M12" s="26" t="str">
        <x:v>HTTP 401 sau retest curl + PowerShell</x:v>
      </x:c>
      <x:c r="N12" s="26" t="str">
        <x:v>SPARK-252</x:v>
      </x:c>
      <x:c r="O12" s="26" t="str">
        <x:v>5995394ef27c</x:v>
      </x:c>
      <x:c r="P12" s="26" t="str">
        <x:v>QA console / Step 8 / 20261027-070837</x:v>
      </x:c>
      <x:c r="Q12" s="26" t="str">
        <x:v>API / HTTP negative or smoke</x:v>
      </x:c>
    </x:row>
    <x:row r="13" ht="76" customHeight="1">
      <x:c r="B13" s="50" t="str">
        <x:v>[HTTP-04]</x:v>
      </x:c>
      <x:c r="C13" s="26" t="str">
        <x:v>Pricing chưa xác thực</x:v>
      </x:c>
      <x:c r="D13" s="26" t="str">
        <x:v>1. Xác minh contract, precondition và dữ liệu QA.
2. Thực hiện case HTTP-04 qua POST /api/v1/pricing/calculate.
3. Kiểm tra HTTP/response và DB khi phù hợp.</x:v>
      </x:c>
      <x:c r="E13" s="26" t="str">
        <x:v>POST pricing/calculate không token → 401</x:v>
      </x:c>
      <x:c r="F13" s="26" t="str">
        <x:v>N/A</x:v>
      </x:c>
      <x:c r="G13" s="48" t="str">
        <x:v>Pass</x:v>
      </x:c>
      <x:c r="H13" s="26" t="str">
        <x:v>2026-10-27</x:v>
      </x:c>
      <x:c r="I13" s="26" t="str">
        <x:v>QA Tester</x:v>
      </x:c>
      <x:c r="J13" s="26" t="n">
        <x:v>1</x:v>
      </x:c>
      <x:c r="K13" s="26" t="n">
        <x:v>1</x:v>
      </x:c>
      <x:c r="L13" s="46" t="n">
        <x:v>1</x:v>
      </x:c>
      <x:c r="M13" s="26" t="str">
        <x:v>HTTP 401</x:v>
      </x:c>
      <x:c r="N13" s="26" t="str">
        <x:v>SPARK-252</x:v>
      </x:c>
      <x:c r="O13" s="26" t="str">
        <x:v>5995394ef27c</x:v>
      </x:c>
      <x:c r="P13" s="26" t="str">
        <x:v>QA console / Step 7 / 20261027-070531</x:v>
      </x:c>
      <x:c r="Q13" s="26" t="str">
        <x:v>API / HTTP negative or smoke</x:v>
      </x:c>
    </x:row>
    <x:row r="14" ht="76" customHeight="1">
      <x:c r="B14" s="50" t="str">
        <x:v>[HTTP-05]</x:v>
      </x:c>
      <x:c r="C14" s="26" t="str">
        <x:v>Webhook JSON không hợp lệ</x:v>
      </x:c>
      <x:c r="D14" s="26" t="str">
        <x:v>1. Xác minh contract, precondition và dữ liệu QA.
2. Thực hiện case HTTP-05 qua POST /api/v1/payments/callbacks/payos.
3. Kiểm tra HTTP/response và DB khi phù hợp.</x:v>
      </x:c>
      <x:c r="E14" s="26" t="str">
        <x:v>POST callbacks/payos với JSON sai → 400</x:v>
      </x:c>
      <x:c r="F14" s="26" t="str">
        <x:v>N/A</x:v>
      </x:c>
      <x:c r="G14" s="48" t="str">
        <x:v>Pass</x:v>
      </x:c>
      <x:c r="H14" s="26" t="str">
        <x:v>2026-10-27</x:v>
      </x:c>
      <x:c r="I14" s="26" t="str">
        <x:v>QA Tester</x:v>
      </x:c>
      <x:c r="J14" s="26" t="n">
        <x:v>1</x:v>
      </x:c>
      <x:c r="K14" s="26" t="n">
        <x:v>1</x:v>
      </x:c>
      <x:c r="L14" s="46" t="n">
        <x:v>1</x:v>
      </x:c>
      <x:c r="M14" s="26" t="str">
        <x:v>HTTP 400</x:v>
      </x:c>
      <x:c r="N14" s="26" t="str">
        <x:v>SPARK-252</x:v>
      </x:c>
      <x:c r="O14" s="26" t="str">
        <x:v>5995394ef27c</x:v>
      </x:c>
      <x:c r="P14" s="26" t="str">
        <x:v>QA console / Step 7 / 20261027-070531</x:v>
      </x:c>
      <x:c r="Q14" s="26" t="str">
        <x:v>API / HTTP negative or smoke</x:v>
      </x:c>
    </x:row>
    <x:row r="15" ht="76" customHeight="1">
      <x:c r="B15" s="50" t="str">
        <x:v>[HTTP-06]</x:v>
      </x:c>
      <x:c r="C15" s="26" t="str">
        <x:v>Checkout JSON không hợp lệ</x:v>
      </x:c>
      <x:c r="D15" s="26" t="str">
        <x:v>1. Xác minh contract, precondition và dữ liệu QA.
2. Thực hiện case HTTP-06 qua POST /api/v1/payments/orders/{orderId}/checkout.
3. Kiểm tra HTTP/response và DB khi phù hợp.</x:v>
      </x:c>
      <x:c r="E15" s="26" t="str">
        <x:v>POST checkout với JSON sai → 400</x:v>
      </x:c>
      <x:c r="F15" s="26" t="str">
        <x:v>N/A</x:v>
      </x:c>
      <x:c r="G15" s="48" t="str">
        <x:v>Pass</x:v>
      </x:c>
      <x:c r="H15" s="26" t="str">
        <x:v>2026-10-27</x:v>
      </x:c>
      <x:c r="I15" s="26" t="str">
        <x:v>QA Tester</x:v>
      </x:c>
      <x:c r="J15" s="26" t="n">
        <x:v>1</x:v>
      </x:c>
      <x:c r="K15" s="26" t="n">
        <x:v>1</x:v>
      </x:c>
      <x:c r="L15" s="46" t="n">
        <x:v>1</x:v>
      </x:c>
      <x:c r="M15" s="26" t="str">
        <x:v>HTTP 400</x:v>
      </x:c>
      <x:c r="N15" s="26" t="str">
        <x:v>SPARK-252</x:v>
      </x:c>
      <x:c r="O15" s="26" t="str">
        <x:v>5995394ef27c</x:v>
      </x:c>
      <x:c r="P15" s="26" t="str">
        <x:v>QA console / Step 7 / 20261027-070531</x:v>
      </x:c>
      <x:c r="Q15" s="26" t="str">
        <x:v>API / HTTP negative or smoke</x:v>
      </x:c>
    </x:row>
    <x:row r="16" ht="76" customHeight="1">
      <x:c r="B16" s="50" t="str">
        <x:v>[DB-HTTP-01]</x:v>
      </x:c>
      <x:c r="C16" s="26" t="str">
        <x:v>Transaction ID không tồn tại</x:v>
      </x:c>
      <x:c r="D16" s="26" t="str">
        <x:v>1. Xác minh contract, precondition và dữ liệu QA.
2. Thực hiện case DB-HTTP-01 qua GET /api/v1/payments/transactions/{transactionId}/status.
3. Kiểm tra HTTP/response và DB khi phù hợp.</x:v>
      </x:c>
      <x:c r="E16" s="26" t="str">
        <x:v>HTTP 404; TRANSACTION_NOT_FOUND</x:v>
      </x:c>
      <x:c r="F16" s="26" t="str">
        <x:v>N/A</x:v>
      </x:c>
      <x:c r="G16" s="48" t="str">
        <x:v>Pass</x:v>
      </x:c>
      <x:c r="H16" s="26" t="str">
        <x:v>2026-10-27</x:v>
      </x:c>
      <x:c r="I16" s="26" t="str">
        <x:v>QA Tester</x:v>
      </x:c>
      <x:c r="J16" s="26" t="n">
        <x:v>1</x:v>
      </x:c>
      <x:c r="K16" s="26" t="n">
        <x:v>1</x:v>
      </x:c>
      <x:c r="L16" s="46" t="n">
        <x:v>1</x:v>
      </x:c>
      <x:c r="M16" s="26" t="str">
        <x:v>HTTP 404; TRANSACTION_NOT_FOUND</x:v>
      </x:c>
      <x:c r="N16" s="26" t="str">
        <x:v>SPARK-252</x:v>
      </x:c>
      <x:c r="O16" s="26" t="str">
        <x:v>5995394ef27c</x:v>
      </x:c>
      <x:c r="P16" s="26" t="str">
        <x:v>QA console / Step 9 / PowerShell output</x:v>
      </x:c>
      <x:c r="Q16" s="26" t="str">
        <x:v>API + PostgreSQL integration</x:v>
      </x:c>
    </x:row>
    <x:row r="17" ht="76" customHeight="1">
      <x:c r="B17" s="50" t="str">
        <x:v>[DB-HTTP-02]</x:v>
      </x:c>
      <x:c r="C17" s="26" t="str">
        <x:v>Order ID không tồn tại</x:v>
      </x:c>
      <x:c r="D17" s="26" t="str">
        <x:v>1. Xác minh contract, precondition và dữ liệu QA.
2. Thực hiện case DB-HTTP-02 qua POST /api/v1/payments/orders/{orderId}/checkout.
3. Kiểm tra HTTP/response và DB khi phù hợp.</x:v>
      </x:c>
      <x:c r="E17" s="26" t="str">
        <x:v>HTTP 404; ORDER_NOT_FOUND</x:v>
      </x:c>
      <x:c r="F17" s="26" t="str">
        <x:v>N/A</x:v>
      </x:c>
      <x:c r="G17" s="48" t="str">
        <x:v>Pass</x:v>
      </x:c>
      <x:c r="H17" s="26" t="str">
        <x:v>2026-10-27</x:v>
      </x:c>
      <x:c r="I17" s="26" t="str">
        <x:v>QA Tester</x:v>
      </x:c>
      <x:c r="J17" s="26" t="n">
        <x:v>1</x:v>
      </x:c>
      <x:c r="K17" s="26" t="n">
        <x:v>1</x:v>
      </x:c>
      <x:c r="L17" s="46" t="n">
        <x:v>1</x:v>
      </x:c>
      <x:c r="M17" s="26" t="str">
        <x:v>HTTP 404; ORDER_NOT_FOUND</x:v>
      </x:c>
      <x:c r="N17" s="26" t="str">
        <x:v>SPARK-252</x:v>
      </x:c>
      <x:c r="O17" s="26" t="str">
        <x:v>5995394ef27c</x:v>
      </x:c>
      <x:c r="P17" s="26" t="str">
        <x:v>QA console / Step 9 / PowerShell output</x:v>
      </x:c>
      <x:c r="Q17" s="26" t="str">
        <x:v>API + PostgreSQL integration</x:v>
      </x:c>
    </x:row>
  </x:sheetData>
  <x:mergeCells>
    <x:mergeCell ref="B1:Q1"/>
  </x:mergeCells>
  <x:dataValidations count="1">
    <x:dataValidation type="list" sqref="G10:G17">
      <x:formula1>"Pass,Fail,Untested,Blocked,N/A"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9" topLeftCell="A10" activePane="bottomLeft" state="frozen"/>
    </x:sheetView>
  </x:sheetViews>
  <x:sheetFormatPr defaultRowHeight="15"/>
  <x:cols>
    <x:col min="2" max="2" width="19" hidden="0" customWidth="1"/>
    <x:col min="3" max="3" width="37" hidden="0" customWidth="1"/>
    <x:col min="4" max="4" width="42" hidden="0" customWidth="1"/>
    <x:col min="5" max="5" width="44" hidden="0" customWidth="1"/>
    <x:col min="6" max="6" width="23" hidden="0" customWidth="1"/>
    <x:col min="7" max="7" width="14" hidden="0" customWidth="1"/>
    <x:col min="8" max="8" width="16" hidden="0" customWidth="1"/>
    <x:col min="9" max="9" width="18" hidden="0" customWidth="1"/>
    <x:col min="10" max="10" width="15" hidden="0" customWidth="1"/>
    <x:col min="11" max="11" width="11" hidden="0" customWidth="1"/>
    <x:col min="12" max="12" width="14" hidden="0" customWidth="1"/>
    <x:col min="13" max="13" width="56" hidden="0" customWidth="1"/>
    <x:col min="14" max="14" width="16" hidden="0" customWidth="1"/>
    <x:col min="15" max="15" width="21" hidden="0" customWidth="1"/>
    <x:col min="16" max="16" width="44" hidden="0" customWidth="1"/>
    <x:col min="17" max="17" width="23" hidden="0" customWidth="1"/>
  </x:cols>
  <x:sheetData>
    <x:row r="1" ht="34" customHeight="1">
      <x:c r="B1" s="5" t="str">
        <x:v>SMART PARKING  |  Payment_Checkout</x:v>
      </x:c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</x:row>
    <x:row r="2">
      <x:c r="B2" s="11" t="str">
        <x:v>Module Code</x:v>
      </x:c>
      <x:c r="C2" t="str">
        <x:v>Payment_Checkout</x:v>
      </x:c>
    </x:row>
    <x:row r="3">
      <x:c r="B3" s="11" t="str">
        <x:v>Test requirement</x:v>
      </x:c>
      <x:c r="C3" t="str">
        <x:v>SPARK-252 | US-D02 | Jira SPARK-247</x:v>
      </x:c>
    </x:row>
    <x:row r="4">
      <x:c r="B4" s="11" t="str">
        <x:v>Reference Document</x:v>
      </x:c>
      <x:c r="C4" t="str">
        <x:v>Jira SPARK-252; PR #14; commit 5995394ef27c</x:v>
      </x:c>
    </x:row>
    <x:row r="5" ht="35" customHeight="1">
      <x:c r="B5" s="20" t="str">
        <x:v>% Passed of tests</x:v>
      </x:c>
      <x:c r="C5" s="20" t="str">
        <x:v>Pass</x:v>
      </x:c>
      <x:c r="D5" s="20" t="str">
        <x:v>Fail</x:v>
      </x:c>
      <x:c r="E5" s="20" t="str">
        <x:v>Untested</x:v>
      </x:c>
      <x:c r="F5" s="20" t="str">
        <x:v>N/A</x:v>
      </x:c>
      <x:c r="G5" s="20" t="str">
        <x:v>Number of Test cases</x:v>
      </x:c>
      <x:c r="H5" s="20" t="str">
        <x:v>Blocked</x:v>
      </x:c>
    </x:row>
    <x:row r="6">
      <x:c r="B6" s="39" t="n">
        <x:f>IF(G6=0,0,C6/G6)</x:f>
        <x:v>1</x:v>
      </x:c>
      <x:c r="C6" s="40" t="n">
        <x:f>COUNTIF(G10:G250,"Pass")</x:f>
        <x:v>3</x:v>
      </x:c>
      <x:c r="D6" s="40" t="n">
        <x:f>COUNTIF(G10:G250,"Fail")</x:f>
        <x:v>0</x:v>
      </x:c>
      <x:c r="E6" s="40" t="n">
        <x:f>COUNTIF(G10:G250,"Untested")</x:f>
        <x:v>0</x:v>
      </x:c>
      <x:c r="F6" s="40" t="n">
        <x:f>COUNTIF(G10:G250,"N/A")</x:f>
        <x:v>0</x:v>
      </x:c>
      <x:c r="G6" s="40" t="n">
        <x:f>COUNTA(B10:B250)</x:f>
        <x:v>3</x:v>
      </x:c>
      <x:c r="H6" s="40" t="n">
        <x:f>COUNTIF(G10:G250,"Blocked")</x:f>
        <x:v>0</x:v>
      </x:c>
    </x:row>
    <x:row r="8">
      <x:c r="B8" s="52" t="str">
        <x:v>Định dạng theo bảng test case của Mentor: kết quả QA riêng; Unit Test chỉ tổng hợp trong báo cáo.</x:v>
      </x:c>
      <x:c r="C8" s="52"/>
      <x:c r="D8" s="52"/>
      <x:c r="E8" s="52"/>
      <x:c r="F8" s="52"/>
      <x:c r="G8" s="52"/>
      <x:c r="H8" s="52"/>
      <x:c r="I8" s="52"/>
      <x:c r="J8" s="52"/>
      <x:c r="K8" s="52"/>
      <x:c r="L8" s="52"/>
      <x:c r="M8" s="52"/>
      <x:c r="N8" s="52"/>
      <x:c r="O8" s="52"/>
      <x:c r="P8" s="52"/>
      <x:c r="Q8" s="52"/>
    </x:row>
    <x:row r="9" ht="35" customHeight="1">
      <x:c r="B9" s="20" t="str">
        <x:v>ID</x:v>
      </x:c>
      <x:c r="C9" s="20" t="str">
        <x:v>Test Case Description</x:v>
      </x:c>
      <x:c r="D9" s="20" t="str">
        <x:v>Test Case Procedure</x:v>
      </x:c>
      <x:c r="E9" s="20" t="str">
        <x:v>Expected Results</x:v>
      </x:c>
      <x:c r="F9" s="20" t="str">
        <x:v>Inter-test case Dependence</x:v>
      </x:c>
      <x:c r="G9" s="20" t="str">
        <x:v>Result</x:v>
      </x:c>
      <x:c r="H9" s="20" t="str">
        <x:v>Test date</x:v>
      </x:c>
      <x:c r="I9" s="20" t="str">
        <x:v>Tester</x:v>
      </x:c>
      <x:c r="J9" s="20" t="str">
        <x:v>Number of tests</x:v>
      </x:c>
      <x:c r="K9" s="20" t="str">
        <x:v>Passed</x:v>
      </x:c>
      <x:c r="L9" s="20" t="str">
        <x:v>% Passed</x:v>
      </x:c>
      <x:c r="M9" s="20" t="str">
        <x:v>Note / Actual</x:v>
      </x:c>
      <x:c r="N9" s="20" t="str">
        <x:v>Testing Jira</x:v>
      </x:c>
      <x:c r="O9" s="20" t="str">
        <x:v>Baseline commit</x:v>
      </x:c>
      <x:c r="P9" s="20" t="str">
        <x:v>Evidence</x:v>
      </x:c>
      <x:c r="Q9" s="20" t="str">
        <x:v>Scenario type</x:v>
      </x:c>
    </x:row>
    <x:row r="10" ht="76" customHeight="1">
      <x:c r="B10" s="50" t="str">
        <x:v>[CHECKOUT-01]</x:v>
      </x:c>
      <x:c r="C10" s="26" t="str">
        <x:v>Tạo checkout hợp lệ với đơn QA</x:v>
      </x:c>
      <x:c r="D10" s="26" t="str">
        <x:v>1. Xác minh contract, precondition và dữ liệu QA.
2. Thực hiện case CHECKOUT-01 qua POST /api/v1/payments/orders/{orderId}/checkout.
3. Kiểm tra HTTP/response và DB khi phù hợp.</x:v>
      </x:c>
      <x:c r="E10" s="26" t="str">
        <x:v>HTTP 200; amount=25000; PENDING; không replay</x:v>
      </x:c>
      <x:c r="F10" s="26" t="str">
        <x:v>N/A</x:v>
      </x:c>
      <x:c r="G10" s="48" t="str">
        <x:v>Pass</x:v>
      </x:c>
      <x:c r="H10" s="26" t="str">
        <x:v>2026-10-27</x:v>
      </x:c>
      <x:c r="I10" s="26" t="str">
        <x:v>QA Tester</x:v>
      </x:c>
      <x:c r="J10" s="26" t="n">
        <x:v>1</x:v>
      </x:c>
      <x:c r="K10" s="26" t="n">
        <x:v>1</x:v>
      </x:c>
      <x:c r="L10" s="46" t="n">
        <x:v>1</x:v>
      </x:c>
      <x:c r="M10" s="26" t="str">
        <x:v>HTTP 200; amount=25000; PENDING; isReplayed=false</x:v>
      </x:c>
      <x:c r="N10" s="26" t="str">
        <x:v>SPARK-252</x:v>
      </x:c>
      <x:c r="O10" s="26" t="str">
        <x:v>5995394ef27c</x:v>
      </x:c>
      <x:c r="P10" s="26" t="str">
        <x:v>QA console / Step 10 / PowerShell output</x:v>
      </x:c>
      <x:c r="Q10" s="26" t="str">
        <x:v>API + PostgreSQL integration</x:v>
      </x:c>
    </x:row>
    <x:row r="11" ht="76" customHeight="1">
      <x:c r="B11" s="50" t="str">
        <x:v>[CHECKOUT-02]</x:v>
      </x:c>
      <x:c r="C11" s="26" t="str">
        <x:v>Replay Idempotency-Key</x:v>
      </x:c>
      <x:c r="D11" s="26" t="str">
        <x:v>1. Xác minh contract, precondition và dữ liệu QA.
2. Thực hiện case CHECKOUT-02 qua POST /api/v1/payments/orders/{orderId}/checkout.
3. Kiểm tra HTTP/response và DB khi phù hợp.</x:v>
      </x:c>
      <x:c r="E11" s="26" t="str">
        <x:v>Dùng lại transaction; isReplayed=true</x:v>
      </x:c>
      <x:c r="F11" s="26" t="str">
        <x:v>N/A</x:v>
      </x:c>
      <x:c r="G11" s="48" t="str">
        <x:v>Pass</x:v>
      </x:c>
      <x:c r="H11" s="26" t="str">
        <x:v>2026-10-27</x:v>
      </x:c>
      <x:c r="I11" s="26" t="str">
        <x:v>QA Tester</x:v>
      </x:c>
      <x:c r="J11" s="26" t="n">
        <x:v>1</x:v>
      </x:c>
      <x:c r="K11" s="26" t="n">
        <x:v>1</x:v>
      </x:c>
      <x:c r="L11" s="46" t="n">
        <x:v>1</x:v>
      </x:c>
      <x:c r="M11" s="26" t="str">
        <x:v>Trả cùng Transaction ID; isReplayed=true</x:v>
      </x:c>
      <x:c r="N11" s="26" t="str">
        <x:v>SPARK-252</x:v>
      </x:c>
      <x:c r="O11" s="26" t="str">
        <x:v>5995394ef27c</x:v>
      </x:c>
      <x:c r="P11" s="26" t="str">
        <x:v>QA console / Step 10 / PowerShell output</x:v>
      </x:c>
      <x:c r="Q11" s="26" t="str">
        <x:v>API + PostgreSQL integration</x:v>
      </x:c>
    </x:row>
    <x:row r="12" ht="76" customHeight="1">
      <x:c r="B12" s="50" t="str">
        <x:v>[DB-POST-01]</x:v>
      </x:c>
      <x:c r="C12" s="26" t="str">
        <x:v>Đối chiếu bản ghi sau checkout</x:v>
      </x:c>
      <x:c r="D12" s="26" t="str">
        <x:v>1. Xác minh contract, precondition và dữ liệu QA.
2. Thực hiện case DB-POST-01 qua DB: payment_orders / payment_transactions.
3. Kiểm tra HTTP/response và DB khi phù hợp.</x:v>
      </x:c>
      <x:c r="E12" s="26" t="str">
        <x:v>Order PENDING; đúng 1 transaction PENDING</x:v>
      </x:c>
      <x:c r="F12" s="26" t="str">
        <x:v>N/A</x:v>
      </x:c>
      <x:c r="G12" s="48" t="str">
        <x:v>Pass</x:v>
      </x:c>
      <x:c r="H12" s="26" t="str">
        <x:v>2026-10-27</x:v>
      </x:c>
      <x:c r="I12" s="26" t="str">
        <x:v>QA Tester</x:v>
      </x:c>
      <x:c r="J12" s="26" t="n">
        <x:v>1</x:v>
      </x:c>
      <x:c r="K12" s="26" t="n">
        <x:v>1</x:v>
      </x:c>
      <x:c r="L12" s="46" t="n">
        <x:v>1</x:v>
      </x:c>
      <x:c r="M12" s="26" t="str">
        <x:v>Order PENDING; đúng 1 transaction PENDING</x:v>
      </x:c>
      <x:c r="N12" s="26" t="str">
        <x:v>SPARK-252</x:v>
      </x:c>
      <x:c r="O12" s="26" t="str">
        <x:v>5995394ef27c</x:v>
      </x:c>
      <x:c r="P12" s="26" t="str">
        <x:v>QA console / Step 10 / PowerShell output</x:v>
      </x:c>
      <x:c r="Q12" s="26" t="str">
        <x:v>API + PostgreSQL integration</x:v>
      </x:c>
    </x:row>
  </x:sheetData>
  <x:mergeCells>
    <x:mergeCell ref="B1:Q1"/>
  </x:mergeCells>
  <x:dataValidations count="1">
    <x:dataValidation type="list" sqref="G10:G12">
      <x:formula1>"Pass,Fail,Untested,Blocked,N/A"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9" topLeftCell="A10" activePane="bottomLeft" state="frozen"/>
    </x:sheetView>
  </x:sheetViews>
  <x:sheetFormatPr defaultRowHeight="15"/>
  <x:cols>
    <x:col min="2" max="2" width="19" hidden="0" customWidth="1"/>
    <x:col min="3" max="3" width="37" hidden="0" customWidth="1"/>
    <x:col min="4" max="4" width="42" hidden="0" customWidth="1"/>
    <x:col min="5" max="5" width="44" hidden="0" customWidth="1"/>
    <x:col min="6" max="6" width="23" hidden="0" customWidth="1"/>
    <x:col min="7" max="7" width="14" hidden="0" customWidth="1"/>
    <x:col min="8" max="8" width="16" hidden="0" customWidth="1"/>
    <x:col min="9" max="9" width="18" hidden="0" customWidth="1"/>
    <x:col min="10" max="10" width="15" hidden="0" customWidth="1"/>
    <x:col min="11" max="11" width="11" hidden="0" customWidth="1"/>
    <x:col min="12" max="12" width="14" hidden="0" customWidth="1"/>
    <x:col min="13" max="13" width="56" hidden="0" customWidth="1"/>
    <x:col min="14" max="14" width="16" hidden="0" customWidth="1"/>
    <x:col min="15" max="15" width="21" hidden="0" customWidth="1"/>
    <x:col min="16" max="16" width="44" hidden="0" customWidth="1"/>
    <x:col min="17" max="17" width="23" hidden="0" customWidth="1"/>
  </x:cols>
  <x:sheetData>
    <x:row r="1" ht="34" customHeight="1">
      <x:c r="B1" s="5" t="str">
        <x:v>SMART PARKING  |  Payment_Integration</x:v>
      </x:c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</x:row>
    <x:row r="2">
      <x:c r="B2" s="11" t="str">
        <x:v>Module Code</x:v>
      </x:c>
      <x:c r="C2" t="str">
        <x:v>Payment_Integration</x:v>
      </x:c>
    </x:row>
    <x:row r="3">
      <x:c r="B3" s="11" t="str">
        <x:v>Test requirement</x:v>
      </x:c>
      <x:c r="C3" t="str">
        <x:v>SPARK-252 | US-D02 | Jira SPARK-247</x:v>
      </x:c>
    </x:row>
    <x:row r="4">
      <x:c r="B4" s="11" t="str">
        <x:v>Reference Document</x:v>
      </x:c>
      <x:c r="C4" t="str">
        <x:v>Jira SPARK-252; PR #14; commit 5995394ef27c</x:v>
      </x:c>
    </x:row>
    <x:row r="5" ht="35" customHeight="1">
      <x:c r="B5" s="20" t="str">
        <x:v>% Passed of tests</x:v>
      </x:c>
      <x:c r="C5" s="20" t="str">
        <x:v>Pass</x:v>
      </x:c>
      <x:c r="D5" s="20" t="str">
        <x:v>Fail</x:v>
      </x:c>
      <x:c r="E5" s="20" t="str">
        <x:v>Untested</x:v>
      </x:c>
      <x:c r="F5" s="20" t="str">
        <x:v>N/A</x:v>
      </x:c>
      <x:c r="G5" s="20" t="str">
        <x:v>Number of Test cases</x:v>
      </x:c>
      <x:c r="H5" s="20" t="str">
        <x:v>Blocked</x:v>
      </x:c>
    </x:row>
    <x:row r="6">
      <x:c r="B6" s="39" t="n">
        <x:f>IF(G6=0,0,C6/G6)</x:f>
        <x:v>0</x:v>
      </x:c>
      <x:c r="C6" s="40" t="n">
        <x:f>COUNTIF(G10:G250,"Pass")</x:f>
        <x:v>0</x:v>
      </x:c>
      <x:c r="D6" s="40" t="n">
        <x:f>COUNTIF(G10:G250,"Fail")</x:f>
        <x:v>0</x:v>
      </x:c>
      <x:c r="E6" s="40" t="n">
        <x:f>COUNTIF(G10:G250,"Untested")</x:f>
        <x:v>0</x:v>
      </x:c>
      <x:c r="F6" s="40" t="n">
        <x:f>COUNTIF(G10:G250,"N/A")</x:f>
        <x:v>0</x:v>
      </x:c>
      <x:c r="G6" s="40" t="n">
        <x:f>COUNTA(B10:B250)</x:f>
        <x:v>1</x:v>
      </x:c>
      <x:c r="H6" s="40" t="n">
        <x:f>COUNTIF(G10:G250,"Blocked")</x:f>
        <x:v>1</x:v>
      </x:c>
    </x:row>
    <x:row r="8">
      <x:c r="B8" s="52" t="str">
        <x:v>Định dạng theo bảng test case của Mentor: kết quả QA riêng; Unit Test chỉ tổng hợp trong báo cáo.</x:v>
      </x:c>
      <x:c r="C8" s="52"/>
      <x:c r="D8" s="52"/>
      <x:c r="E8" s="52"/>
      <x:c r="F8" s="52"/>
      <x:c r="G8" s="52"/>
      <x:c r="H8" s="52"/>
      <x:c r="I8" s="52"/>
      <x:c r="J8" s="52"/>
      <x:c r="K8" s="52"/>
      <x:c r="L8" s="52"/>
      <x:c r="M8" s="52"/>
      <x:c r="N8" s="52"/>
      <x:c r="O8" s="52"/>
      <x:c r="P8" s="52"/>
      <x:c r="Q8" s="52"/>
    </x:row>
    <x:row r="9" ht="35" customHeight="1">
      <x:c r="B9" s="20" t="str">
        <x:v>ID</x:v>
      </x:c>
      <x:c r="C9" s="20" t="str">
        <x:v>Test Case Description</x:v>
      </x:c>
      <x:c r="D9" s="20" t="str">
        <x:v>Test Case Procedure</x:v>
      </x:c>
      <x:c r="E9" s="20" t="str">
        <x:v>Expected Results</x:v>
      </x:c>
      <x:c r="F9" s="20" t="str">
        <x:v>Inter-test case Dependence</x:v>
      </x:c>
      <x:c r="G9" s="20" t="str">
        <x:v>Result</x:v>
      </x:c>
      <x:c r="H9" s="20" t="str">
        <x:v>Test date</x:v>
      </x:c>
      <x:c r="I9" s="20" t="str">
        <x:v>Tester</x:v>
      </x:c>
      <x:c r="J9" s="20" t="str">
        <x:v>Number of tests</x:v>
      </x:c>
      <x:c r="K9" s="20" t="str">
        <x:v>Passed</x:v>
      </x:c>
      <x:c r="L9" s="20" t="str">
        <x:v>% Passed</x:v>
      </x:c>
      <x:c r="M9" s="20" t="str">
        <x:v>Note / Actual</x:v>
      </x:c>
      <x:c r="N9" s="20" t="str">
        <x:v>Testing Jira</x:v>
      </x:c>
      <x:c r="O9" s="20" t="str">
        <x:v>Baseline commit</x:v>
      </x:c>
      <x:c r="P9" s="20" t="str">
        <x:v>Evidence</x:v>
      </x:c>
      <x:c r="Q9" s="20" t="str">
        <x:v>Scenario type</x:v>
      </x:c>
    </x:row>
    <x:row r="10" ht="76" customHeight="1">
      <x:c r="B10" s="50" t="str">
        <x:v>[E2E-RES-01]</x:v>
      </x:c>
      <x:c r="C10" s="26" t="str">
        <x:v>Reservation pricing snapshot → PaymentService</x:v>
      </x:c>
      <x:c r="D10" s="26" t="str">
        <x:v>1. Kiểm tra Reservation pricing snapshot contract.
2. Khởi chạy QA ReservationService nếu môi trường sẵn sàng.
3. Xác minh call từ Payment tới Reservation; blocked vì thiếu integration.</x:v>
      </x:c>
      <x:c r="E10" s="26" t="str">
        <x:v>Reservation API cung cấp snapshot mà Payment adapter sử dụng</x:v>
      </x:c>
      <x:c r="F10" s="26" t="str">
        <x:v>N/A</x:v>
      </x:c>
      <x:c r="G10" s="54" t="str">
        <x:v>Blocked</x:v>
      </x:c>
      <x:c r="H10" s="26"/>
      <x:c r="I10" s="26" t="str">
        <x:v>QA Tester</x:v>
      </x:c>
      <x:c r="J10" s="26" t="n">
        <x:v>0</x:v>
      </x:c>
      <x:c r="K10" s="26" t="n">
        <x:v>0</x:v>
      </x:c>
      <x:c r="L10" s="46" t="n">
        <x:v>0</x:v>
      </x:c>
      <x:c r="M10" s="26" t="str">
        <x:v>Chưa xác minh được: không tìm thấy chuỗi pricing-snapshot trong ReservationService; service không chạy | Thiếu FE/Reservation integration; không ghi PASS.</x:v>
      </x:c>
      <x:c r="N10" s="26" t="str">
        <x:v>SPARK-252</x:v>
      </x:c>
      <x:c r="O10" s="26" t="str">
        <x:v>5995394ef27c</x:v>
      </x:c>
      <x:c r="P10" s="26" t="str">
        <x:v>QA console / Step 12 / 20261027-074407</x:v>
      </x:c>
      <x:c r="Q10" s="26" t="str">
        <x:v>Integration / E2E</x:v>
      </x:c>
    </x:row>
  </x:sheetData>
  <x:mergeCells>
    <x:mergeCell ref="B1:Q1"/>
  </x:mergeCells>
  <x:dataValidations count="1">
    <x:dataValidation type="list" sqref="G10">
      <x:formula1>"Pass,Fail,Untested,Blocked,N/A"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9" topLeftCell="A10" activePane="bottomLeft" state="frozen"/>
    </x:sheetView>
  </x:sheetViews>
  <x:sheetFormatPr defaultRowHeight="15"/>
  <x:cols>
    <x:col min="2" max="2" width="19" hidden="0" customWidth="1"/>
    <x:col min="3" max="3" width="37" hidden="0" customWidth="1"/>
    <x:col min="4" max="4" width="42" hidden="0" customWidth="1"/>
    <x:col min="5" max="5" width="44" hidden="0" customWidth="1"/>
    <x:col min="6" max="6" width="23" hidden="0" customWidth="1"/>
    <x:col min="7" max="7" width="14" hidden="0" customWidth="1"/>
    <x:col min="8" max="8" width="16" hidden="0" customWidth="1"/>
    <x:col min="9" max="9" width="18" hidden="0" customWidth="1"/>
    <x:col min="10" max="10" width="15" hidden="0" customWidth="1"/>
    <x:col min="11" max="11" width="11" hidden="0" customWidth="1"/>
    <x:col min="12" max="12" width="14" hidden="0" customWidth="1"/>
    <x:col min="13" max="13" width="56" hidden="0" customWidth="1"/>
    <x:col min="14" max="14" width="16" hidden="0" customWidth="1"/>
    <x:col min="15" max="15" width="21" hidden="0" customWidth="1"/>
    <x:col min="16" max="16" width="44" hidden="0" customWidth="1"/>
    <x:col min="17" max="17" width="23" hidden="0" customWidth="1"/>
  </x:cols>
  <x:sheetData>
    <x:row r="1" ht="34" customHeight="1">
      <x:c r="B1" s="5" t="str">
        <x:v>SMART PARKING  |  Payment_Status</x:v>
      </x:c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</x:row>
    <x:row r="2">
      <x:c r="B2" s="11" t="str">
        <x:v>Module Code</x:v>
      </x:c>
      <x:c r="C2" t="str">
        <x:v>Payment_Status</x:v>
      </x:c>
    </x:row>
    <x:row r="3">
      <x:c r="B3" s="11" t="str">
        <x:v>Test requirement</x:v>
      </x:c>
      <x:c r="C3" t="str">
        <x:v>SPARK-252 | US-D02 | Jira SPARK-247</x:v>
      </x:c>
    </x:row>
    <x:row r="4">
      <x:c r="B4" s="11" t="str">
        <x:v>Reference Document</x:v>
      </x:c>
      <x:c r="C4" t="str">
        <x:v>Jira SPARK-252; PR #14; commit 5995394ef27c</x:v>
      </x:c>
    </x:row>
    <x:row r="5" ht="35" customHeight="1">
      <x:c r="B5" s="20" t="str">
        <x:v>% Passed of tests</x:v>
      </x:c>
      <x:c r="C5" s="20" t="str">
        <x:v>Pass</x:v>
      </x:c>
      <x:c r="D5" s="20" t="str">
        <x:v>Fail</x:v>
      </x:c>
      <x:c r="E5" s="20" t="str">
        <x:v>Untested</x:v>
      </x:c>
      <x:c r="F5" s="20" t="str">
        <x:v>N/A</x:v>
      </x:c>
      <x:c r="G5" s="20" t="str">
        <x:v>Number of Test cases</x:v>
      </x:c>
      <x:c r="H5" s="20" t="str">
        <x:v>Blocked</x:v>
      </x:c>
    </x:row>
    <x:row r="6">
      <x:c r="B6" s="39" t="n">
        <x:f>IF(G6=0,0,C6/G6)</x:f>
        <x:v>0</x:v>
      </x:c>
      <x:c r="C6" s="40" t="n">
        <x:f>COUNTIF(G10:G250,"Pass")</x:f>
        <x:v>0</x:v>
      </x:c>
      <x:c r="D6" s="40" t="n">
        <x:f>COUNTIF(G10:G250,"Fail")</x:f>
        <x:v>0</x:v>
      </x:c>
      <x:c r="E6" s="40" t="n">
        <x:f>COUNTIF(G10:G250,"Untested")</x:f>
        <x:v>1</x:v>
      </x:c>
      <x:c r="F6" s="40" t="n">
        <x:f>COUNTIF(G10:G250,"N/A")</x:f>
        <x:v>0</x:v>
      </x:c>
      <x:c r="G6" s="40" t="n">
        <x:f>COUNTA(B10:B250)</x:f>
        <x:v>1</x:v>
      </x:c>
      <x:c r="H6" s="40" t="n">
        <x:f>COUNTIF(G10:G250,"Blocked")</x:f>
        <x:v>0</x:v>
      </x:c>
    </x:row>
    <x:row r="8">
      <x:c r="B8" s="52" t="str">
        <x:v>Định dạng theo bảng test case của Mentor: kết quả QA riêng; Unit Test chỉ tổng hợp trong báo cáo.</x:v>
      </x:c>
      <x:c r="C8" s="52"/>
      <x:c r="D8" s="52"/>
      <x:c r="E8" s="52"/>
      <x:c r="F8" s="52"/>
      <x:c r="G8" s="52"/>
      <x:c r="H8" s="52"/>
      <x:c r="I8" s="52"/>
      <x:c r="J8" s="52"/>
      <x:c r="K8" s="52"/>
      <x:c r="L8" s="52"/>
      <x:c r="M8" s="52"/>
      <x:c r="N8" s="52"/>
      <x:c r="O8" s="52"/>
      <x:c r="P8" s="52"/>
      <x:c r="Q8" s="52"/>
    </x:row>
    <x:row r="9" ht="35" customHeight="1">
      <x:c r="B9" s="20" t="str">
        <x:v>ID</x:v>
      </x:c>
      <x:c r="C9" s="20" t="str">
        <x:v>Test Case Description</x:v>
      </x:c>
      <x:c r="D9" s="20" t="str">
        <x:v>Test Case Procedure</x:v>
      </x:c>
      <x:c r="E9" s="20" t="str">
        <x:v>Expected Results</x:v>
      </x:c>
      <x:c r="F9" s="20" t="str">
        <x:v>Inter-test case Dependence</x:v>
      </x:c>
      <x:c r="G9" s="20" t="str">
        <x:v>Result</x:v>
      </x:c>
      <x:c r="H9" s="20" t="str">
        <x:v>Test date</x:v>
      </x:c>
      <x:c r="I9" s="20" t="str">
        <x:v>Tester</x:v>
      </x:c>
      <x:c r="J9" s="20" t="str">
        <x:v>Number of tests</x:v>
      </x:c>
      <x:c r="K9" s="20" t="str">
        <x:v>Passed</x:v>
      </x:c>
      <x:c r="L9" s="20" t="str">
        <x:v>% Passed</x:v>
      </x:c>
      <x:c r="M9" s="20" t="str">
        <x:v>Note / Actual</x:v>
      </x:c>
      <x:c r="N9" s="20" t="str">
        <x:v>Testing Jira</x:v>
      </x:c>
      <x:c r="O9" s="20" t="str">
        <x:v>Baseline commit</x:v>
      </x:c>
      <x:c r="P9" s="20" t="str">
        <x:v>Evidence</x:v>
      </x:c>
      <x:c r="Q9" s="20" t="str">
        <x:v>Scenario type</x:v>
      </x:c>
    </x:row>
    <x:row r="10" ht="76" customHeight="1">
      <x:c r="B10" s="50" t="str">
        <x:v>[STATUS-01]</x:v>
      </x:c>
      <x:c r="C10" s="26" t="str">
        <x:v>Đọc status SUCCESS và isAuthoritative</x:v>
      </x:c>
      <x:c r="D10" s="26" t="str">
        <x:v>1. Có transaction đã được xác minh thành công.
2. GET transactions/{id}/status bằng quyền hợp lệ.
3. Kiểm tra SUCCESS/isAuthoritative; chưa thực hiện.</x:v>
      </x:c>
      <x:c r="E10" s="26" t="str">
        <x:v>Status trả SUCCESS/isAuthoritative phù hợp trạng thái đã được provider xác minh.</x:v>
      </x:c>
      <x:c r="F10" s="26" t="str">
        <x:v>N/A</x:v>
      </x:c>
      <x:c r="G10" s="26" t="str">
        <x:v>Untested</x:v>
      </x:c>
      <x:c r="H10" s="26"/>
      <x:c r="I10" s="26" t="str">
        <x:v>QA Tester</x:v>
      </x:c>
      <x:c r="J10" s="26" t="n">
        <x:v>0</x:v>
      </x:c>
      <x:c r="K10" s="26" t="n">
        <x:v>0</x:v>
      </x:c>
      <x:c r="L10" s="46" t="n">
        <x:v>0</x:v>
      </x:c>
      <x:c r="M10" s="26" t="str">
        <x:v>Chưa chạy do dừng sau WEBHOOK-02. Không thực hiện</x:v>
      </x:c>
      <x:c r="N10" s="26" t="str">
        <x:v>SPARK-252</x:v>
      </x:c>
      <x:c r="O10" s="26" t="str">
        <x:v>5995394ef27c</x:v>
      </x:c>
      <x:c r="P10" s="26" t="str">
        <x:v>QA console / Step 11 – dừng có kiểm soát</x:v>
      </x:c>
      <x:c r="Q10" s="26" t="str">
        <x:v>API / reconciliation after webhook</x:v>
      </x:c>
    </x:row>
  </x:sheetData>
  <x:mergeCells>
    <x:mergeCell ref="B1:Q1"/>
  </x:mergeCells>
  <x:dataValidations count="1">
    <x:dataValidation type="list" sqref="G10">
      <x:formula1>"Pass,Fail,Untested,Blocked,N/A"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9" topLeftCell="A10" activePane="bottomLeft" state="frozen"/>
    </x:sheetView>
  </x:sheetViews>
  <x:sheetFormatPr defaultRowHeight="15"/>
  <x:cols>
    <x:col min="2" max="2" width="19" hidden="0" customWidth="1"/>
    <x:col min="3" max="3" width="37" hidden="0" customWidth="1"/>
    <x:col min="4" max="4" width="42" hidden="0" customWidth="1"/>
    <x:col min="5" max="5" width="44" hidden="0" customWidth="1"/>
    <x:col min="6" max="6" width="23" hidden="0" customWidth="1"/>
    <x:col min="7" max="7" width="14" hidden="0" customWidth="1"/>
    <x:col min="8" max="8" width="16" hidden="0" customWidth="1"/>
    <x:col min="9" max="9" width="18" hidden="0" customWidth="1"/>
    <x:col min="10" max="10" width="15" hidden="0" customWidth="1"/>
    <x:col min="11" max="11" width="11" hidden="0" customWidth="1"/>
    <x:col min="12" max="12" width="14" hidden="0" customWidth="1"/>
    <x:col min="13" max="13" width="56" hidden="0" customWidth="1"/>
    <x:col min="14" max="14" width="16" hidden="0" customWidth="1"/>
    <x:col min="15" max="15" width="21" hidden="0" customWidth="1"/>
    <x:col min="16" max="16" width="44" hidden="0" customWidth="1"/>
    <x:col min="17" max="17" width="23" hidden="0" customWidth="1"/>
  </x:cols>
  <x:sheetData>
    <x:row r="1" ht="34" customHeight="1">
      <x:c r="B1" s="5" t="str">
        <x:v>SMART PARKING  |  Payment_Webhook</x:v>
      </x:c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</x:row>
    <x:row r="2">
      <x:c r="B2" s="11" t="str">
        <x:v>Module Code</x:v>
      </x:c>
      <x:c r="C2" t="str">
        <x:v>Payment_Webhook</x:v>
      </x:c>
    </x:row>
    <x:row r="3">
      <x:c r="B3" s="11" t="str">
        <x:v>Test requirement</x:v>
      </x:c>
      <x:c r="C3" t="str">
        <x:v>SPARK-252 | US-D02 | Jira SPARK-247</x:v>
      </x:c>
    </x:row>
    <x:row r="4">
      <x:c r="B4" s="11" t="str">
        <x:v>Reference Document</x:v>
      </x:c>
      <x:c r="C4" t="str">
        <x:v>Jira SPARK-252; PR #14; commit 5995394ef27c</x:v>
      </x:c>
    </x:row>
    <x:row r="5" ht="35" customHeight="1">
      <x:c r="B5" s="20" t="str">
        <x:v>% Passed of tests</x:v>
      </x:c>
      <x:c r="C5" s="20" t="str">
        <x:v>Pass</x:v>
      </x:c>
      <x:c r="D5" s="20" t="str">
        <x:v>Fail</x:v>
      </x:c>
      <x:c r="E5" s="20" t="str">
        <x:v>Untested</x:v>
      </x:c>
      <x:c r="F5" s="20" t="str">
        <x:v>N/A</x:v>
      </x:c>
      <x:c r="G5" s="20" t="str">
        <x:v>Number of Test cases</x:v>
      </x:c>
      <x:c r="H5" s="20" t="str">
        <x:v>Blocked</x:v>
      </x:c>
    </x:row>
    <x:row r="6">
      <x:c r="B6" s="39" t="n">
        <x:f>IF(G6=0,0,C6/G6)</x:f>
        <x:v>0.2</x:v>
      </x:c>
      <x:c r="C6" s="40" t="n">
        <x:f>COUNTIF(G10:G250,"Pass")</x:f>
        <x:v>1</x:v>
      </x:c>
      <x:c r="D6" s="40" t="n">
        <x:f>COUNTIF(G10:G250,"Fail")</x:f>
        <x:v>1</x:v>
      </x:c>
      <x:c r="E6" s="40" t="n">
        <x:f>COUNTIF(G10:G250,"Untested")</x:f>
        <x:v>3</x:v>
      </x:c>
      <x:c r="F6" s="40" t="n">
        <x:f>COUNTIF(G10:G250,"N/A")</x:f>
        <x:v>0</x:v>
      </x:c>
      <x:c r="G6" s="40" t="n">
        <x:f>COUNTA(B10:B250)</x:f>
        <x:v>5</x:v>
      </x:c>
      <x:c r="H6" s="40" t="n">
        <x:f>COUNTIF(G10:G250,"Blocked")</x:f>
        <x:v>0</x:v>
      </x:c>
    </x:row>
    <x:row r="8">
      <x:c r="B8" s="52" t="str">
        <x:v>Định dạng theo bảng test case của Mentor: kết quả QA riêng; Unit Test chỉ tổng hợp trong báo cáo.</x:v>
      </x:c>
      <x:c r="C8" s="52"/>
      <x:c r="D8" s="52"/>
      <x:c r="E8" s="52"/>
      <x:c r="F8" s="52"/>
      <x:c r="G8" s="52"/>
      <x:c r="H8" s="52"/>
      <x:c r="I8" s="52"/>
      <x:c r="J8" s="52"/>
      <x:c r="K8" s="52"/>
      <x:c r="L8" s="52"/>
      <x:c r="M8" s="52"/>
      <x:c r="N8" s="52"/>
      <x:c r="O8" s="52"/>
      <x:c r="P8" s="52"/>
      <x:c r="Q8" s="52"/>
    </x:row>
    <x:row r="9" ht="35" customHeight="1">
      <x:c r="B9" s="20" t="str">
        <x:v>ID</x:v>
      </x:c>
      <x:c r="C9" s="20" t="str">
        <x:v>Test Case Description</x:v>
      </x:c>
      <x:c r="D9" s="20" t="str">
        <x:v>Test Case Procedure</x:v>
      </x:c>
      <x:c r="E9" s="20" t="str">
        <x:v>Expected Results</x:v>
      </x:c>
      <x:c r="F9" s="20" t="str">
        <x:v>Inter-test case Dependence</x:v>
      </x:c>
      <x:c r="G9" s="20" t="str">
        <x:v>Result</x:v>
      </x:c>
      <x:c r="H9" s="20" t="str">
        <x:v>Test date</x:v>
      </x:c>
      <x:c r="I9" s="20" t="str">
        <x:v>Tester</x:v>
      </x:c>
      <x:c r="J9" s="20" t="str">
        <x:v>Number of tests</x:v>
      </x:c>
      <x:c r="K9" s="20" t="str">
        <x:v>Passed</x:v>
      </x:c>
      <x:c r="L9" s="20" t="str">
        <x:v>% Passed</x:v>
      </x:c>
      <x:c r="M9" s="20" t="str">
        <x:v>Note / Actual</x:v>
      </x:c>
      <x:c r="N9" s="20" t="str">
        <x:v>Testing Jira</x:v>
      </x:c>
      <x:c r="O9" s="20" t="str">
        <x:v>Baseline commit</x:v>
      </x:c>
      <x:c r="P9" s="20" t="str">
        <x:v>Evidence</x:v>
      </x:c>
      <x:c r="Q9" s="20" t="str">
        <x:v>Scenario type</x:v>
      </x:c>
    </x:row>
    <x:row r="10" ht="76" customHeight="1">
      <x:c r="B10" s="50" t="str">
        <x:v>[WEBHOOK-01]</x:v>
      </x:c>
      <x:c r="C10" s="26" t="str">
        <x:v>Sai chữ ký HMAC</x:v>
      </x:c>
      <x:c r="D10" s="26" t="str">
        <x:v>1. Xác minh contract, precondition và dữ liệu QA.
2. Thực hiện case WEBHOOK-01 qua POST /api/v1/payments/callbacks/payos.
3. Kiểm tra HTTP/response và DB khi phù hợp.</x:v>
      </x:c>
      <x:c r="E10" s="26" t="str">
        <x:v>HTTP 400 INVALID_WEBHOOK_SIGNATURE</x:v>
      </x:c>
      <x:c r="F10" s="26" t="str">
        <x:v>N/A</x:v>
      </x:c>
      <x:c r="G10" s="48" t="str">
        <x:v>Pass</x:v>
      </x:c>
      <x:c r="H10" s="26" t="str">
        <x:v>2026-10-27</x:v>
      </x:c>
      <x:c r="I10" s="26" t="str">
        <x:v>QA Tester</x:v>
      </x:c>
      <x:c r="J10" s="26" t="n">
        <x:v>1</x:v>
      </x:c>
      <x:c r="K10" s="26" t="n">
        <x:v>1</x:v>
      </x:c>
      <x:c r="L10" s="46" t="n">
        <x:v>1</x:v>
      </x:c>
      <x:c r="M10" s="26" t="str">
        <x:v>HTTP 400 INVALID_WEBHOOK_SIGNATURE</x:v>
      </x:c>
      <x:c r="N10" s="26" t="str">
        <x:v>SPARK-252</x:v>
      </x:c>
      <x:c r="O10" s="26" t="str">
        <x:v>5995394ef27c</x:v>
      </x:c>
      <x:c r="P10" s="26" t="str">
        <x:v>QA console / Step 11 / PowerShell output</x:v>
      </x:c>
      <x:c r="Q10" s="26" t="str">
        <x:v>API webhook / security + persistence</x:v>
      </x:c>
    </x:row>
    <x:row r="11" ht="76" customHeight="1">
      <x:c r="B11" s="50" t="str">
        <x:v>[WEBHOOK-02]</x:v>
      </x:c>
      <x:c r="C11" s="26" t="str">
        <x:v>Chữ ký hợp lệ, lệch số tiền +1đ</x:v>
      </x:c>
      <x:c r="D11" s="26" t="str">
        <x:v>1. Giữ order QA PENDING 25.000 VND.
2. Tạo webhook amount=25.001 VND ký bằng HMAC QA hợp lệ.
3. POST /api/v1/payments/callbacks/payos.
4. So HTTP/error envelope và đọc trạng thái DB.</x:v>
      </x:c>
      <x:c r="E11" s="26" t="str">
        <x:v>HTTP 400 AMOUNT_MISMATCH</x:v>
      </x:c>
      <x:c r="F11" s="26" t="str">
        <x:v>N/A</x:v>
      </x:c>
      <x:c r="G11" s="56" t="str">
        <x:v>Fail</x:v>
      </x:c>
      <x:c r="H11" s="26" t="str">
        <x:v>2026-10-27</x:v>
      </x:c>
      <x:c r="I11" s="26" t="str">
        <x:v>QA Tester</x:v>
      </x:c>
      <x:c r="J11" s="26" t="n">
        <x:v>1</x:v>
      </x:c>
      <x:c r="K11" s="26" t="n">
        <x:v>0</x:v>
      </x:c>
      <x:c r="L11" s="46" t="n">
        <x:v>0</x:v>
      </x:c>
      <x:c r="M11" s="26" t="str">
        <x:v>HTTP 500 INTERNAL_SERVER_ERROR (tái hiện 2 lần) | Jira: SPARK-313; 2 lần tái hiện; HMAC mock QA.</x:v>
      </x:c>
      <x:c r="N11" s="26" t="str">
        <x:v>SPARK-252</x:v>
      </x:c>
      <x:c r="O11" s="26" t="str">
        <x:v>5995394ef27c</x:v>
      </x:c>
      <x:c r="P11" s="26" t="str">
        <x:v>QA console / Step 11 và 11-R1 / 20261027-073655</x:v>
      </x:c>
      <x:c r="Q11" s="26" t="str">
        <x:v>API webhook / security + persistence</x:v>
      </x:c>
    </x:row>
    <x:row r="12" ht="76" customHeight="1">
      <x:c r="B12" s="50" t="str">
        <x:v>[WEBHOOK-03]</x:v>
      </x:c>
      <x:c r="C12" s="26" t="str">
        <x:v>Webhook hợp lệ / PAID</x:v>
      </x:c>
      <x:c r="D12" s="26" t="str">
        <x:v>1. Chuẩn bị order PENDING có chữ ký callback đúng.
2. Gửi webhook SUCCESS hợp lệ.
3. Xác minh payment state và một financial effect; chưa thực hiện.</x:v>
      </x:c>
      <x:c r="E12" s="26" t="str">
        <x:v>Một webhook SUCCESS đã xác minh làm cập nhật đúng trạng thái PAID/SUCCESS, không tạo financial effect giả.</x:v>
      </x:c>
      <x:c r="F12" s="26" t="str">
        <x:v>N/A</x:v>
      </x:c>
      <x:c r="G12" s="26" t="str">
        <x:v>Untested</x:v>
      </x:c>
      <x:c r="H12" s="26"/>
      <x:c r="I12" s="26" t="str">
        <x:v>QA Tester</x:v>
      </x:c>
      <x:c r="J12" s="26" t="n">
        <x:v>0</x:v>
      </x:c>
      <x:c r="K12" s="26" t="n">
        <x:v>0</x:v>
      </x:c>
      <x:c r="L12" s="46" t="n">
        <x:v>0</x:v>
      </x:c>
      <x:c r="M12" s="26" t="str">
        <x:v>Chưa chạy do dừng sau WEBHOOK-02. Không thực hiện</x:v>
      </x:c>
      <x:c r="N12" s="26" t="str">
        <x:v>SPARK-252</x:v>
      </x:c>
      <x:c r="O12" s="26" t="str">
        <x:v>5995394ef27c</x:v>
      </x:c>
      <x:c r="P12" s="26" t="str">
        <x:v>QA console / Step 11 – dừng có kiểm soát</x:v>
      </x:c>
      <x:c r="Q12" s="26" t="str">
        <x:v>API webhook / security + persistence</x:v>
      </x:c>
    </x:row>
    <x:row r="13" ht="76" customHeight="1">
      <x:c r="B13" s="50" t="str">
        <x:v>[WEBHOOK-04]</x:v>
      </x:c>
      <x:c r="C13" s="26" t="str">
        <x:v>Replay webhook trùng</x:v>
      </x:c>
      <x:c r="D13" s="26" t="str">
        <x:v>1. Gửi webhook hợp lệ một lần.
2. Gửi lại cùng provider event/reference.
3. Xác minh không tác động tài chính trùng; chưa thực hiện.</x:v>
      </x:c>
      <x:c r="E13" s="26" t="str">
        <x:v>Callback trùng không làm phát sinh thêm giao dịch/tác động tài chính; phản hồi theo contract.</x:v>
      </x:c>
      <x:c r="F13" s="26" t="str">
        <x:v>N/A</x:v>
      </x:c>
      <x:c r="G13" s="26" t="str">
        <x:v>Untested</x:v>
      </x:c>
      <x:c r="H13" s="26"/>
      <x:c r="I13" s="26" t="str">
        <x:v>QA Tester</x:v>
      </x:c>
      <x:c r="J13" s="26" t="n">
        <x:v>0</x:v>
      </x:c>
      <x:c r="K13" s="26" t="n">
        <x:v>0</x:v>
      </x:c>
      <x:c r="L13" s="46" t="n">
        <x:v>0</x:v>
      </x:c>
      <x:c r="M13" s="26" t="str">
        <x:v>Chưa chạy do dừng sau WEBHOOK-02. Không thực hiện</x:v>
      </x:c>
      <x:c r="N13" s="26" t="str">
        <x:v>SPARK-252</x:v>
      </x:c>
      <x:c r="O13" s="26" t="str">
        <x:v>5995394ef27c</x:v>
      </x:c>
      <x:c r="P13" s="26" t="str">
        <x:v>QA console / Step 11 – dừng có kiểm soát</x:v>
      </x:c>
      <x:c r="Q13" s="26" t="str">
        <x:v>API webhook / security + persistence</x:v>
      </x:c>
    </x:row>
    <x:row r="14" ht="76" customHeight="1">
      <x:c r="B14" s="50" t="str">
        <x:v>[DB-WEBHOOK-01]</x:v>
      </x:c>
      <x:c r="C14" s="26" t="str">
        <x:v>Kiểm tra PAID/SUCCESS và event trạng thái</x:v>
      </x:c>
      <x:c r="D14" s="26" t="str">
        <x:v>1. Chạy webhook hợp lệ, truy vấn DB QA chỉ đọc.
2. Kiểm tra order/transaction/event audit chính xác; chưa thực hiện.</x:v>
      </x:c>
      <x:c r="E14" s="26" t="str">
        <x:v>Một bản ghi trạng thái PAID/SUCCESS và lịch sử webhook chính xác; không trùng tác động.</x:v>
      </x:c>
      <x:c r="F14" s="26" t="str">
        <x:v>N/A</x:v>
      </x:c>
      <x:c r="G14" s="26" t="str">
        <x:v>Untested</x:v>
      </x:c>
      <x:c r="H14" s="26"/>
      <x:c r="I14" s="26" t="str">
        <x:v>QA Tester</x:v>
      </x:c>
      <x:c r="J14" s="26" t="n">
        <x:v>0</x:v>
      </x:c>
      <x:c r="K14" s="26" t="n">
        <x:v>0</x:v>
      </x:c>
      <x:c r="L14" s="46" t="n">
        <x:v>0</x:v>
      </x:c>
      <x:c r="M14" s="26" t="str">
        <x:v>Chưa chạy do dừng sau WEBHOOK-02. Không thực hiện</x:v>
      </x:c>
      <x:c r="N14" s="26" t="str">
        <x:v>SPARK-252</x:v>
      </x:c>
      <x:c r="O14" s="26" t="str">
        <x:v>5995394ef27c</x:v>
      </x:c>
      <x:c r="P14" s="26" t="str">
        <x:v>QA console / Step 11 – dừng có kiểm soát</x:v>
      </x:c>
      <x:c r="Q14" s="26" t="str">
        <x:v>API + PostgreSQL integration</x:v>
      </x:c>
    </x:row>
  </x:sheetData>
  <x:mergeCells>
    <x:mergeCell ref="B1:Q1"/>
  </x:mergeCells>
  <x:dataValidations count="1">
    <x:dataValidation type="list" sqref="G10:G14">
      <x:formula1>"Pass,Fail,Untested,Blocked,N/A"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4" hidden="0" customWidth="1"/>
    <x:col min="2" max="2" width="25" hidden="0" customWidth="1"/>
    <x:col min="3" max="3" width="39" hidden="0" customWidth="1"/>
    <x:col min="4" max="4" width="70" hidden="0" customWidth="1"/>
    <x:col min="5" max="5" width="69" hidden="0" customWidth="1"/>
    <x:col min="6" max="6" width="28" hidden="0" customWidth="1"/>
  </x:cols>
  <x:sheetData>
    <x:row r="1" ht="34" customHeight="1">
      <x:c r="B1" s="5" t="str">
        <x:v>HISTORICAL TEST INTAKE  |  PAYMENT</x:v>
      </x:c>
      <x:c r="C1" s="5"/>
      <x:c r="D1" s="5"/>
      <x:c r="E1" s="5"/>
      <x:c r="F1" s="5"/>
    </x:row>
    <x:row r="3">
      <x:c r="B3" t="str">
        <x:v>Historical summaries below are NOT added to current QA Pass/Fail totals until original case evidence is reconciled.</x:v>
      </x:c>
    </x:row>
    <x:row r="5" ht="35" customHeight="1">
      <x:c r="B5" s="20" t="str">
        <x:v>Source task / PR</x:v>
      </x:c>
      <x:c r="C5" s="20" t="str">
        <x:v>Scope</x:v>
      </x:c>
      <x:c r="D5" s="20" t="str">
        <x:v>Prior outcome summary</x:v>
      </x:c>
      <x:c r="E5" s="20" t="str">
        <x:v>Required evidence / actions</x:v>
      </x:c>
      <x:c r="F5" s="20" t="str">
        <x:v>Migration status</x:v>
      </x:c>
    </x:row>
    <x:row r="6" ht="85" customHeight="1">
      <x:c r="B6" s="26" t="str">
        <x:v>SPARK-252 / PR #14</x:v>
      </x:c>
      <x:c r="C6" s="26" t="str">
        <x:v>Payment Gateway — API Testing + UAT</x:v>
      </x:c>
      <x:c r="D6" s="26" t="str">
        <x:v>18 trường hợp QA độc lập đã nhập vào các sheet Payment_*; Unit Test 80/0/0 đưa vào Word.</x:v>
      </x:c>
      <x:c r="E6" s="26" t="str">
        <x:v>QA HOLD; Bug SPARK-313; chưa có real payOS, Newman và full E2E.</x:v>
      </x:c>
      <x:c r="F6" s="26" t="str">
        <x:v>ACTIVE CASES IMPORTED</x:v>
      </x:c>
    </x:row>
    <x:row r="7" ht="85" customHeight="1">
      <x:c r="B7" s="26" t="str">
        <x:v>PR #7 / SPARK-314 (QA)</x:v>
      </x:c>
      <x:c r="C7" s="26" t="str">
        <x:v>Pricing Calculator / PaymentService QA</x:v>
      </x:c>
      <x:c r="D7" s="26" t="str">
        <x:v>Imported 19 detailed QA cases: 18 PASS, 1 FAIL. Developer xUnit: 42 passed, 0 failed/skipped (reference only).</x:v>
      </x:c>
      <x:c r="E7" s="26" t="str">
        <x:v>Do not claim PR7 failure still exists in current HEAD; SPARK-311 tracks string-enum; live Reservation E2E still unverified.</x:v>
      </x:c>
      <x:c r="F7" s="26" t="str">
        <x:v>19 CASES IMPORTED / QA KEY PENDING</x:v>
      </x:c>
    </x:row>
  </x:sheetData>
  <x:mergeCells>
    <x:mergeCell ref="B1:F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9" topLeftCell="A10" activePane="bottomLeft" state="frozen"/>
    </x:sheetView>
  </x:sheetViews>
  <x:sheetFormatPr defaultRowHeight="15"/>
  <x:cols>
    <x:col min="2" max="2" width="22" hidden="0" customWidth="1"/>
    <x:col min="3" max="3" width="28" hidden="0" customWidth="1"/>
    <x:col min="4" max="4" width="40" hidden="0" customWidth="1"/>
    <x:col min="5" max="5" width="35" hidden="0" customWidth="1"/>
    <x:col min="6" max="6" width="27" hidden="0" customWidth="1"/>
    <x:col min="7" max="7" width="15" hidden="0" customWidth="1"/>
    <x:col min="8" max="8" width="15" hidden="0" customWidth="1"/>
    <x:col min="9" max="9" width="13" hidden="0" customWidth="1"/>
    <x:col min="10" max="10" width="14" hidden="0" customWidth="1"/>
    <x:col min="11" max="11" width="12" hidden="0" customWidth="1"/>
    <x:col min="12" max="12" width="14" hidden="0" customWidth="1"/>
    <x:col min="13" max="13" width="48" hidden="0" customWidth="1"/>
    <x:col min="14" max="14" width="25" hidden="0" customWidth="1"/>
    <x:col min="15" max="15" width="25" hidden="0" customWidth="1"/>
    <x:col min="16" max="16" width="48" hidden="0" customWidth="1"/>
    <x:col min="17" max="17" width="38" hidden="0" customWidth="1"/>
  </x:cols>
  <x:sheetData>
    <x:row r="1" ht="35" customHeight="1">
      <x:c r="B1" s="61" t="str">
        <x:v>SMART PARKING  |  PR7_Pricing_QA</x:v>
      </x:c>
      <x:c r="C1" s="61"/>
      <x:c r="D1" s="61"/>
      <x:c r="E1" s="61"/>
      <x:c r="F1" s="61"/>
      <x:c r="G1" s="61"/>
      <x:c r="H1" s="61"/>
      <x:c r="I1" s="61"/>
      <x:c r="J1" s="61"/>
      <x:c r="K1" s="61"/>
      <x:c r="L1" s="61"/>
      <x:c r="M1" s="61"/>
      <x:c r="N1" s="61"/>
      <x:c r="O1" s="61"/>
      <x:c r="P1" s="61"/>
      <x:c r="Q1" s="61"/>
    </x:row>
    <x:row r="2">
      <x:c r="B2" s="63" t="str">
        <x:v>Module Code</x:v>
      </x:c>
      <x:c r="C2" t="str">
        <x:v>PR7_Pricing_QA</x:v>
      </x:c>
    </x:row>
    <x:row r="3">
      <x:c r="B3" s="63" t="str">
        <x:v>Test requirement</x:v>
      </x:c>
      <x:c r="C3" t="str">
        <x:v>PR #7 / SPARK-314 (QA Testing) · SPARK-229 (BE implementation)</x:v>
      </x:c>
    </x:row>
    <x:row r="4">
      <x:c r="B4" s="63" t="str">
        <x:v>Reference Document</x:v>
      </x:c>
      <x:c r="C4" s="66" t="str">
        <x:v>Pricing Calculator: 19 QA cases from PR7 report, baseline fe13d7ce; Reservation failures originate in Payment adapter.</x:v>
      </x:c>
      <x:c r="D4" s="66"/>
      <x:c r="E4" s="66"/>
      <x:c r="F4" s="66"/>
      <x:c r="G4" s="66"/>
      <x:c r="H4" s="66"/>
      <x:c r="I4" s="66"/>
      <x:c r="J4" s="66"/>
      <x:c r="K4" s="66"/>
      <x:c r="L4" s="66"/>
      <x:c r="M4" s="66"/>
      <x:c r="N4" s="66"/>
      <x:c r="O4" s="66"/>
      <x:c r="P4" s="66"/>
      <x:c r="Q4" s="66"/>
    </x:row>
    <x:row r="5">
      <x:c r="B5" s="71" t="str">
        <x:v>% Passed of tests</x:v>
      </x:c>
      <x:c r="C5" s="71" t="str">
        <x:v>Pass</x:v>
      </x:c>
      <x:c r="D5" s="71" t="str">
        <x:v>Fail</x:v>
      </x:c>
      <x:c r="E5" s="71" t="str">
        <x:v>Untested</x:v>
      </x:c>
      <x:c r="F5" s="71" t="str">
        <x:v>N/A</x:v>
      </x:c>
      <x:c r="G5" s="71" t="str">
        <x:v>Number of test cases</x:v>
      </x:c>
      <x:c r="H5" s="71" t="str">
        <x:v>Blocked</x:v>
      </x:c>
    </x:row>
    <x:row r="6" ht="24" customHeight="1">
      <x:c r="B6" s="32" t="n">
        <x:f>IFERROR(C6/G6,0)</x:f>
        <x:v>0.9473684210526315</x:v>
      </x:c>
      <x:c r="C6" t="n">
        <x:v>18</x:v>
      </x:c>
      <x:c r="D6" t="n">
        <x:v>1</x:v>
      </x:c>
      <x:c r="E6" t="n">
        <x:v>0</x:v>
      </x:c>
      <x:c r="F6" t="n">
        <x:v>0</x:v>
      </x:c>
      <x:c r="G6" t="n">
        <x:v>19</x:v>
      </x:c>
      <x:c r="H6" t="n">
        <x:v>0</x:v>
      </x:c>
    </x:row>
    <x:row r="8" ht="28" customHeight="1">
      <x:c r="B8" s="66" t="str">
        <x:v>Nguồn: tài liệu gốc trong Historical ZIP. Tổng hợp theo nhiều commit; không suy diễn kết quả ở HEAD mới.</x:v>
      </x:c>
      <x:c r="C8" s="66"/>
      <x:c r="D8" s="66"/>
      <x:c r="E8" s="66"/>
      <x:c r="F8" s="66"/>
      <x:c r="G8" s="66"/>
      <x:c r="H8" s="66"/>
      <x:c r="I8" s="66"/>
      <x:c r="J8" s="66"/>
      <x:c r="K8" s="66"/>
      <x:c r="L8" s="66"/>
      <x:c r="M8" s="66"/>
      <x:c r="N8" s="66"/>
      <x:c r="O8" s="66"/>
      <x:c r="P8" s="66"/>
      <x:c r="Q8" s="66"/>
    </x:row>
    <x:row r="9" ht="35" customHeight="1">
      <x:c r="B9" s="71" t="str">
        <x:v>ID</x:v>
      </x:c>
      <x:c r="C9" s="71" t="str">
        <x:v>Test Case Description</x:v>
      </x:c>
      <x:c r="D9" s="71" t="str">
        <x:v>Test Case Procedure</x:v>
      </x:c>
      <x:c r="E9" s="71" t="str">
        <x:v>Expected Results</x:v>
      </x:c>
      <x:c r="F9" s="71" t="str">
        <x:v>Inter-test case Dependence</x:v>
      </x:c>
      <x:c r="G9" s="71" t="str">
        <x:v>Result</x:v>
      </x:c>
      <x:c r="H9" s="71" t="str">
        <x:v>Test date</x:v>
      </x:c>
      <x:c r="I9" s="71" t="str">
        <x:v>Tester</x:v>
      </x:c>
      <x:c r="J9" s="71" t="str">
        <x:v>Number of tests</x:v>
      </x:c>
      <x:c r="K9" s="71" t="str">
        <x:v>Passed</x:v>
      </x:c>
      <x:c r="L9" s="71" t="str">
        <x:v>% Passed</x:v>
      </x:c>
      <x:c r="M9" s="71" t="str">
        <x:v>Note / Actual</x:v>
      </x:c>
      <x:c r="N9" s="71" t="str">
        <x:v>Testing Jira</x:v>
      </x:c>
      <x:c r="O9" s="71" t="str">
        <x:v>Baseline commit</x:v>
      </x:c>
      <x:c r="P9" s="71" t="str">
        <x:v>Evidence / source</x:v>
      </x:c>
      <x:c r="Q9" s="71" t="str">
        <x:v>Scenario type</x:v>
      </x:c>
    </x:row>
    <x:row r="10" ht="57" customHeight="1">
      <x:c r="B10" s="73" t="str">
        <x:v>[PR7:HTTP-01]</x:v>
      </x:c>
      <x:c r="C10" s="26" t="str">
        <x:v>No authorization</x:v>
      </x:c>
      <x:c r="D10" s="26" t="str">
        <x:v>Case HTTP-01 (Security). Use QA-only PaymentService HTTP/mock/PostgreSQL fixture on commit fe13d7ce; verify source report for exact request.</x:v>
      </x:c>
      <x:c r="E10" s="26" t="str">
        <x:v>401</x:v>
      </x:c>
      <x:c r="F10" s="26" t="str">
        <x:v>QA Payment database/mock as applicable</x:v>
      </x:c>
      <x:c r="G10" s="26" t="str">
        <x:v>Pass</x:v>
      </x:c>
      <x:c r="H10" s="26" t="str">
        <x:v>2026-10-27</x:v>
      </x:c>
      <x:c r="I10" s="26" t="str">
        <x:v>QA Tester</x:v>
      </x:c>
      <x:c r="J10" s="26" t="n">
        <x:v>1</x:v>
      </x:c>
      <x:c r="K10" s="26" t="n">
        <x:f>IF(G10="Pass",1,0)</x:f>
        <x:v>1</x:v>
      </x:c>
      <x:c r="L10" s="46" t="n">
        <x:f>IFERROR(K10/J10,0)</x:f>
        <x:v>1</x:v>
      </x:c>
      <x:c r="M10" s="26" t="str">
        <x:v>401
Source HTTP-01; Commit fe13d7ce.</x:v>
      </x:c>
      <x:c r="N10" s="26" t="str">
        <x:v>SPARK-314 (QA) | SPARK-229 (BE)</x:v>
      </x:c>
      <x:c r="O10" s="26" t="str">
        <x:v>fe13d7ce0895786dfcd6906ff81cd6a6edbf023f</x:v>
      </x:c>
      <x:c r="P10" s="26" t="str">
        <x:v>PR7_QA_Test_Report.xlsx!Test Cases row 44; User-pasted PowerShell output. Original execution log not in ZIP.</x:v>
      </x:c>
      <x:c r="Q10" s="26" t="str">
        <x:v>API/DB/mocked Reservation; PaymentService initiating request</x:v>
      </x:c>
    </x:row>
    <x:row r="11" ht="57" customHeight="1">
      <x:c r="B11" s="73" t="str">
        <x:v>[PR7:HTTP-02]</x:v>
      </x:c>
      <x:c r="C11" s="26" t="str">
        <x:v>Driver policy override</x:v>
      </x:c>
      <x:c r="D11" s="26" t="str">
        <x:v>Case HTTP-02 (Security). Use QA-only PaymentService HTTP/mock/PostgreSQL fixture on commit fe13d7ce; verify source report for exact request.</x:v>
      </x:c>
      <x:c r="E11" s="26" t="str">
        <x:v>400 validation</x:v>
      </x:c>
      <x:c r="F11" s="26" t="str">
        <x:v>QA Payment database/mock as applicable</x:v>
      </x:c>
      <x:c r="G11" s="26" t="str">
        <x:v>Pass</x:v>
      </x:c>
      <x:c r="H11" s="26" t="str">
        <x:v>2026-10-27</x:v>
      </x:c>
      <x:c r="I11" s="26" t="str">
        <x:v>QA Tester</x:v>
      </x:c>
      <x:c r="J11" s="26" t="n">
        <x:v>1</x:v>
      </x:c>
      <x:c r="K11" s="26" t="n">
        <x:f>IF(G11="Pass",1,0)</x:f>
        <x:v>1</x:v>
      </x:c>
      <x:c r="L11" s="46" t="n">
        <x:f>IFERROR(K11/J11,0)</x:f>
        <x:v>1</x:v>
      </x:c>
      <x:c r="M11" s="26" t="str">
        <x:v>400 validation
Source HTTP-02; Commit fe13d7ce.</x:v>
      </x:c>
      <x:c r="N11" s="26" t="str">
        <x:v>SPARK-314 (QA) | SPARK-229 (BE)</x:v>
      </x:c>
      <x:c r="O11" s="26" t="str">
        <x:v>fe13d7ce0895786dfcd6906ff81cd6a6edbf023f</x:v>
      </x:c>
      <x:c r="P11" s="26" t="str">
        <x:v>PR7_QA_Test_Report.xlsx!Test Cases row 45; User-pasted PowerShell output. Original execution log not in ZIP.</x:v>
      </x:c>
      <x:c r="Q11" s="26" t="str">
        <x:v>API/DB/mocked Reservation; PaymentService initiating request</x:v>
      </x:c>
    </x:row>
    <x:row r="12" ht="57" customHeight="1">
      <x:c r="B12" s="73" t="str">
        <x:v>[PR7:HTTP-03]</x:v>
      </x:c>
      <x:c r="C12" s="26" t="str">
        <x:v>Grace period 12 min</x:v>
      </x:c>
      <x:c r="D12" s="26" t="str">
        <x:v>Case HTTP-03 (Pricing). Use QA-only PaymentService HTTP/mock/PostgreSQL fixture on commit fe13d7ce; verify source report for exact request.</x:v>
      </x:c>
      <x:c r="E12" s="26" t="str">
        <x:v>200 / 0 VND</x:v>
      </x:c>
      <x:c r="F12" s="26" t="str">
        <x:v>QA Payment database/mock as applicable</x:v>
      </x:c>
      <x:c r="G12" s="26" t="str">
        <x:v>Pass</x:v>
      </x:c>
      <x:c r="H12" s="26" t="str">
        <x:v>2026-10-27</x:v>
      </x:c>
      <x:c r="I12" s="26" t="str">
        <x:v>QA Tester</x:v>
      </x:c>
      <x:c r="J12" s="26" t="n">
        <x:v>1</x:v>
      </x:c>
      <x:c r="K12" s="26" t="n">
        <x:f>IF(G12="Pass",1,0)</x:f>
        <x:v>1</x:v>
      </x:c>
      <x:c r="L12" s="46" t="n">
        <x:f>IFERROR(K12/J12,0)</x:f>
        <x:v>1</x:v>
      </x:c>
      <x:c r="M12" s="26" t="str">
        <x:v>200 / 0 VND
Source HTTP-03; Commit fe13d7ce.</x:v>
      </x:c>
      <x:c r="N12" s="26" t="str">
        <x:v>SPARK-314 (QA) | SPARK-229 (BE)</x:v>
      </x:c>
      <x:c r="O12" s="26" t="str">
        <x:v>fe13d7ce0895786dfcd6906ff81cd6a6edbf023f</x:v>
      </x:c>
      <x:c r="P12" s="26" t="str">
        <x:v>PR7_QA_Test_Report.xlsx!Test Cases row 46; User-pasted PowerShell output. Original execution log not in ZIP.</x:v>
      </x:c>
      <x:c r="Q12" s="26" t="str">
        <x:v>API/DB/mocked Reservation; PaymentService initiating request</x:v>
      </x:c>
    </x:row>
    <x:row r="13" ht="57" customHeight="1">
      <x:c r="B13" s="73" t="str">
        <x:v>[PR7:HTTP-04]</x:v>
      </x:c>
      <x:c r="C13" s="26" t="str">
        <x:v>Grace period exactly 15 min</x:v>
      </x:c>
      <x:c r="D13" s="26" t="str">
        <x:v>Case HTTP-04 (Pricing). Use QA-only PaymentService HTTP/mock/PostgreSQL fixture on commit fe13d7ce; verify source report for exact request.</x:v>
      </x:c>
      <x:c r="E13" s="26" t="str">
        <x:v>200 / 0 VND</x:v>
      </x:c>
      <x:c r="F13" s="26" t="str">
        <x:v>QA Payment database/mock as applicable</x:v>
      </x:c>
      <x:c r="G13" s="26" t="str">
        <x:v>Pass</x:v>
      </x:c>
      <x:c r="H13" s="26" t="str">
        <x:v>2026-10-27</x:v>
      </x:c>
      <x:c r="I13" s="26" t="str">
        <x:v>QA Tester</x:v>
      </x:c>
      <x:c r="J13" s="26" t="n">
        <x:v>1</x:v>
      </x:c>
      <x:c r="K13" s="26" t="n">
        <x:f>IF(G13="Pass",1,0)</x:f>
        <x:v>1</x:v>
      </x:c>
      <x:c r="L13" s="46" t="n">
        <x:f>IFERROR(K13/J13,0)</x:f>
        <x:v>1</x:v>
      </x:c>
      <x:c r="M13" s="26" t="str">
        <x:v>200 / 0 VND
Source HTTP-04; Commit fe13d7ce.</x:v>
      </x:c>
      <x:c r="N13" s="26" t="str">
        <x:v>SPARK-314 (QA) | SPARK-229 (BE)</x:v>
      </x:c>
      <x:c r="O13" s="26" t="str">
        <x:v>fe13d7ce0895786dfcd6906ff81cd6a6edbf023f</x:v>
      </x:c>
      <x:c r="P13" s="26" t="str">
        <x:v>PR7_QA_Test_Report.xlsx!Test Cases row 47; User-pasted PowerShell output. Original execution log not in ZIP.</x:v>
      </x:c>
      <x:c r="Q13" s="26" t="str">
        <x:v>API/DB/mocked Reservation; PaymentService initiating request</x:v>
      </x:c>
    </x:row>
    <x:row r="14" ht="57" customHeight="1">
      <x:c r="B14" s="73" t="str">
        <x:v>[PR7:HTTP-05]</x:v>
      </x:c>
      <x:c r="C14" s="26" t="str">
        <x:v>Grace exceeded 16 min</x:v>
      </x:c>
      <x:c r="D14" s="26" t="str">
        <x:v>Case HTTP-05 (Pricing). Use QA-only PaymentService HTTP/mock/PostgreSQL fixture on commit fe13d7ce; verify source report for exact request.</x:v>
      </x:c>
      <x:c r="E14" s="26" t="str">
        <x:v>200 / 5,000 VND</x:v>
      </x:c>
      <x:c r="F14" s="26" t="str">
        <x:v>QA Payment database/mock as applicable</x:v>
      </x:c>
      <x:c r="G14" s="26" t="str">
        <x:v>Pass</x:v>
      </x:c>
      <x:c r="H14" s="26" t="str">
        <x:v>2026-10-27</x:v>
      </x:c>
      <x:c r="I14" s="26" t="str">
        <x:v>QA Tester</x:v>
      </x:c>
      <x:c r="J14" s="26" t="n">
        <x:v>1</x:v>
      </x:c>
      <x:c r="K14" s="26" t="n">
        <x:f>IF(G14="Pass",1,0)</x:f>
        <x:v>1</x:v>
      </x:c>
      <x:c r="L14" s="46" t="n">
        <x:f>IFERROR(K14/J14,0)</x:f>
        <x:v>1</x:v>
      </x:c>
      <x:c r="M14" s="26" t="str">
        <x:v>200 / 5,000 VND
Source HTTP-05; Commit fe13d7ce.</x:v>
      </x:c>
      <x:c r="N14" s="26" t="str">
        <x:v>SPARK-314 (QA) | SPARK-229 (BE)</x:v>
      </x:c>
      <x:c r="O14" s="26" t="str">
        <x:v>fe13d7ce0895786dfcd6906ff81cd6a6edbf023f</x:v>
      </x:c>
      <x:c r="P14" s="26" t="str">
        <x:v>PR7_QA_Test_Report.xlsx!Test Cases row 48; User-pasted PowerShell output. Original execution log not in ZIP.</x:v>
      </x:c>
      <x:c r="Q14" s="26" t="str">
        <x:v>API/DB/mocked Reservation; PaymentService initiating request</x:v>
      </x:c>
    </x:row>
    <x:row r="15" ht="57" customHeight="1">
      <x:c r="B15" s="73" t="str">
        <x:v>[PR7:HTTP-06]</x:v>
      </x:c>
      <x:c r="C15" s="26" t="str">
        <x:v>Standard 150 min</x:v>
      </x:c>
      <x:c r="D15" s="26" t="str">
        <x:v>Case HTTP-06 (Pricing). Use QA-only PaymentService HTTP/mock/PostgreSQL fixture on commit fe13d7ce; verify source report for exact request.</x:v>
      </x:c>
      <x:c r="E15" s="26" t="str">
        <x:v>200 / 50,000 VND</x:v>
      </x:c>
      <x:c r="F15" s="26" t="str">
        <x:v>QA Payment database/mock as applicable</x:v>
      </x:c>
      <x:c r="G15" s="26" t="str">
        <x:v>Pass</x:v>
      </x:c>
      <x:c r="H15" s="26" t="str">
        <x:v>2026-10-27</x:v>
      </x:c>
      <x:c r="I15" s="26" t="str">
        <x:v>QA Tester</x:v>
      </x:c>
      <x:c r="J15" s="26" t="n">
        <x:v>1</x:v>
      </x:c>
      <x:c r="K15" s="26" t="n">
        <x:f>IF(G15="Pass",1,0)</x:f>
        <x:v>1</x:v>
      </x:c>
      <x:c r="L15" s="46" t="n">
        <x:f>IFERROR(K15/J15,0)</x:f>
        <x:v>1</x:v>
      </x:c>
      <x:c r="M15" s="26" t="str">
        <x:v>200 / 50,000 VND
Source HTTP-06; Commit fe13d7ce.</x:v>
      </x:c>
      <x:c r="N15" s="26" t="str">
        <x:v>SPARK-314 (QA) | SPARK-229 (BE)</x:v>
      </x:c>
      <x:c r="O15" s="26" t="str">
        <x:v>fe13d7ce0895786dfcd6906ff81cd6a6edbf023f</x:v>
      </x:c>
      <x:c r="P15" s="26" t="str">
        <x:v>PR7_QA_Test_Report.xlsx!Test Cases row 49; User-pasted PowerShell output. Original execution log not in ZIP.</x:v>
      </x:c>
      <x:c r="Q15" s="26" t="str">
        <x:v>API/DB/mocked Reservation; PaymentService initiating request</x:v>
      </x:c>
    </x:row>
    <x:row r="16" ht="57" customHeight="1">
      <x:c r="B16" s="73" t="str">
        <x:v>[PR7:HTTP-07]</x:v>
      </x:c>
      <x:c r="C16" s="26" t="str">
        <x:v>Day/night boundary</x:v>
      </x:c>
      <x:c r="D16" s="26" t="str">
        <x:v>Case HTTP-07 (Pricing). Use QA-only PaymentService HTTP/mock/PostgreSQL fixture on commit fe13d7ce; verify source report for exact request.</x:v>
      </x:c>
      <x:c r="E16" s="26" t="str">
        <x:v>200 / 25,000 VND</x:v>
      </x:c>
      <x:c r="F16" s="26" t="str">
        <x:v>QA Payment database/mock as applicable</x:v>
      </x:c>
      <x:c r="G16" s="26" t="str">
        <x:v>Pass</x:v>
      </x:c>
      <x:c r="H16" s="26" t="str">
        <x:v>2026-10-27</x:v>
      </x:c>
      <x:c r="I16" s="26" t="str">
        <x:v>QA Tester</x:v>
      </x:c>
      <x:c r="J16" s="26" t="n">
        <x:v>1</x:v>
      </x:c>
      <x:c r="K16" s="26" t="n">
        <x:f>IF(G16="Pass",1,0)</x:f>
        <x:v>1</x:v>
      </x:c>
      <x:c r="L16" s="46" t="n">
        <x:f>IFERROR(K16/J16,0)</x:f>
        <x:v>1</x:v>
      </x:c>
      <x:c r="M16" s="26" t="str">
        <x:v>200 / 25,000 VND
Source HTTP-07; Commit fe13d7ce.</x:v>
      </x:c>
      <x:c r="N16" s="26" t="str">
        <x:v>SPARK-314 (QA) | SPARK-229 (BE)</x:v>
      </x:c>
      <x:c r="O16" s="26" t="str">
        <x:v>fe13d7ce0895786dfcd6906ff81cd6a6edbf023f</x:v>
      </x:c>
      <x:c r="P16" s="26" t="str">
        <x:v>PR7_QA_Test_Report.xlsx!Test Cases row 50; User-pasted PowerShell output. Original execution log not in ZIP.</x:v>
      </x:c>
      <x:c r="Q16" s="26" t="str">
        <x:v>API/DB/mocked Reservation; PaymentService initiating request</x:v>
      </x:c>
    </x:row>
    <x:row r="17" ht="57" customHeight="1">
      <x:c r="B17" s="73" t="str">
        <x:v>[PR7:HTTP-08]</x:v>
      </x:c>
      <x:c r="C17" s="26" t="str">
        <x:v>Cross midnight</x:v>
      </x:c>
      <x:c r="D17" s="26" t="str">
        <x:v>Case HTTP-08 (Pricing). Use QA-only PaymentService HTTP/mock/PostgreSQL fixture on commit fe13d7ce; verify source report for exact request.</x:v>
      </x:c>
      <x:c r="E17" s="26" t="str">
        <x:v>200 / 30,000 VND</x:v>
      </x:c>
      <x:c r="F17" s="26" t="str">
        <x:v>QA Payment database/mock as applicable</x:v>
      </x:c>
      <x:c r="G17" s="26" t="str">
        <x:v>Pass</x:v>
      </x:c>
      <x:c r="H17" s="26" t="str">
        <x:v>2026-10-27</x:v>
      </x:c>
      <x:c r="I17" s="26" t="str">
        <x:v>QA Tester</x:v>
      </x:c>
      <x:c r="J17" s="26" t="n">
        <x:v>1</x:v>
      </x:c>
      <x:c r="K17" s="26" t="n">
        <x:f>IF(G17="Pass",1,0)</x:f>
        <x:v>1</x:v>
      </x:c>
      <x:c r="L17" s="46" t="n">
        <x:f>IFERROR(K17/J17,0)</x:f>
        <x:v>1</x:v>
      </x:c>
      <x:c r="M17" s="26" t="str">
        <x:v>200 / 30,000 VND
Source HTTP-08; Commit fe13d7ce.</x:v>
      </x:c>
      <x:c r="N17" s="26" t="str">
        <x:v>SPARK-314 (QA) | SPARK-229 (BE)</x:v>
      </x:c>
      <x:c r="O17" s="26" t="str">
        <x:v>fe13d7ce0895786dfcd6906ff81cd6a6edbf023f</x:v>
      </x:c>
      <x:c r="P17" s="26" t="str">
        <x:v>PR7_QA_Test_Report.xlsx!Test Cases row 51; User-pasted PowerShell output. Original execution log not in ZIP.</x:v>
      </x:c>
      <x:c r="Q17" s="26" t="str">
        <x:v>API/DB/mocked Reservation; PaymentService initiating request</x:v>
      </x:c>
    </x:row>
    <x:row r="18" ht="57" customHeight="1">
      <x:c r="B18" s="73" t="str">
        <x:v>[PR7:HTTP-09]</x:v>
      </x:c>
      <x:c r="C18" s="26" t="str">
        <x:v>Exit earlier than entry</x:v>
      </x:c>
      <x:c r="D18" s="26" t="str">
        <x:v>Case HTTP-09 (Validation). Use QA-only PaymentService HTTP/mock/PostgreSQL fixture on commit fe13d7ce; verify source report for exact request.</x:v>
      </x:c>
      <x:c r="E18" s="26" t="str">
        <x:v>400 validation</x:v>
      </x:c>
      <x:c r="F18" s="26" t="str">
        <x:v>QA Payment database/mock as applicable</x:v>
      </x:c>
      <x:c r="G18" s="26" t="str">
        <x:v>Pass</x:v>
      </x:c>
      <x:c r="H18" s="26" t="str">
        <x:v>2026-10-27</x:v>
      </x:c>
      <x:c r="I18" s="26" t="str">
        <x:v>QA Tester</x:v>
      </x:c>
      <x:c r="J18" s="26" t="n">
        <x:v>1</x:v>
      </x:c>
      <x:c r="K18" s="26" t="n">
        <x:f>IF(G18="Pass",1,0)</x:f>
        <x:v>1</x:v>
      </x:c>
      <x:c r="L18" s="46" t="n">
        <x:f>IFERROR(K18/J18,0)</x:f>
        <x:v>1</x:v>
      </x:c>
      <x:c r="M18" s="26" t="str">
        <x:v>400 validation
Source HTTP-09; Commit fe13d7ce.</x:v>
      </x:c>
      <x:c r="N18" s="26" t="str">
        <x:v>SPARK-314 (QA) | SPARK-229 (BE)</x:v>
      </x:c>
      <x:c r="O18" s="26" t="str">
        <x:v>fe13d7ce0895786dfcd6906ff81cd6a6edbf023f</x:v>
      </x:c>
      <x:c r="P18" s="26" t="str">
        <x:v>PR7_QA_Test_Report.xlsx!Test Cases row 52; User-pasted PowerShell output. Original execution log not in ZIP.</x:v>
      </x:c>
      <x:c r="Q18" s="26" t="str">
        <x:v>API/DB/mocked Reservation; PaymentService initiating request</x:v>
      </x:c>
    </x:row>
    <x:row r="19" ht="57" customHeight="1">
      <x:c r="B19" s="73" t="str">
        <x:v>[PR7:HTTP-10]</x:v>
      </x:c>
      <x:c r="C19" s="26" t="str">
        <x:v>Unsupported vehicle BUS</x:v>
      </x:c>
      <x:c r="D19" s="26" t="str">
        <x:v>Case HTTP-10 (Validation). Use QA-only PaymentService HTTP/mock/PostgreSQL fixture on commit fe13d7ce; verify source report for exact request.</x:v>
      </x:c>
      <x:c r="E19" s="26" t="str">
        <x:v>400 validation</x:v>
      </x:c>
      <x:c r="F19" s="26" t="str">
        <x:v>QA Payment database/mock as applicable</x:v>
      </x:c>
      <x:c r="G19" s="26" t="str">
        <x:v>Pass</x:v>
      </x:c>
      <x:c r="H19" s="26" t="str">
        <x:v>2026-10-27</x:v>
      </x:c>
      <x:c r="I19" s="26" t="str">
        <x:v>QA Tester</x:v>
      </x:c>
      <x:c r="J19" s="26" t="n">
        <x:v>1</x:v>
      </x:c>
      <x:c r="K19" s="26" t="n">
        <x:f>IF(G19="Pass",1,0)</x:f>
        <x:v>1</x:v>
      </x:c>
      <x:c r="L19" s="46" t="n">
        <x:f>IFERROR(K19/J19,0)</x:f>
        <x:v>1</x:v>
      </x:c>
      <x:c r="M19" s="26" t="str">
        <x:v>400 validation
Source HTTP-10; Commit fe13d7ce.</x:v>
      </x:c>
      <x:c r="N19" s="26" t="str">
        <x:v>SPARK-314 (QA) | SPARK-229 (BE)</x:v>
      </x:c>
      <x:c r="O19" s="26" t="str">
        <x:v>fe13d7ce0895786dfcd6906ff81cd6a6edbf023f</x:v>
      </x:c>
      <x:c r="P19" s="26" t="str">
        <x:v>PR7_QA_Test_Report.xlsx!Test Cases row 53; User-pasted PowerShell output. Original execution log not in ZIP.</x:v>
      </x:c>
      <x:c r="Q19" s="26" t="str">
        <x:v>API/DB/mocked Reservation; PaymentService initiating request</x:v>
      </x:c>
    </x:row>
    <x:row r="20" ht="57" customHeight="1">
      <x:c r="B20" s="73" t="str">
        <x:v>[PR7:DB-HTTP-01]</x:v>
      </x:c>
      <x:c r="C20" s="26" t="str">
        <x:v>No active tariff for unknown site</x:v>
      </x:c>
      <x:c r="D20" s="26" t="str">
        <x:v>Case DB-HTTP-01 (PostgreSQL). Use QA-only PaymentService HTTP/mock/PostgreSQL fixture on commit fe13d7ce; verify source report for exact request.</x:v>
      </x:c>
      <x:c r="E20" s="26" t="str">
        <x:v>404 / TARIFF_NOT_FOUND</x:v>
      </x:c>
      <x:c r="F20" s="26" t="str">
        <x:v>QA Payment database/mock as applicable</x:v>
      </x:c>
      <x:c r="G20" s="26" t="str">
        <x:v>Pass</x:v>
      </x:c>
      <x:c r="H20" s="26" t="str">
        <x:v>2026-10-27</x:v>
      </x:c>
      <x:c r="I20" s="26" t="str">
        <x:v>QA Tester</x:v>
      </x:c>
      <x:c r="J20" s="26" t="n">
        <x:v>1</x:v>
      </x:c>
      <x:c r="K20" s="26" t="n">
        <x:f>IF(G20="Pass",1,0)</x:f>
        <x:v>1</x:v>
      </x:c>
      <x:c r="L20" s="46" t="n">
        <x:f>IFERROR(K20/J20,0)</x:f>
        <x:v>1</x:v>
      </x:c>
      <x:c r="M20" s="26" t="str">
        <x:v>404 / TARIFF_NOT_FOUND
Source DB-HTTP-01; Commit fe13d7ce.</x:v>
      </x:c>
      <x:c r="N20" s="26" t="str">
        <x:v>SPARK-314 (QA) | SPARK-229 (BE)</x:v>
      </x:c>
      <x:c r="O20" s="26" t="str">
        <x:v>fe13d7ce0895786dfcd6906ff81cd6a6edbf023f</x:v>
      </x:c>
      <x:c r="P20" s="26" t="str">
        <x:v>PR7_QA_Test_Report.xlsx!Test Cases row 54; User-pasted PowerShell output. Original execution log not in ZIP.</x:v>
      </x:c>
      <x:c r="Q20" s="26" t="str">
        <x:v>API/DB/mocked Reservation; PaymentService initiating request</x:v>
      </x:c>
    </x:row>
    <x:row r="21" ht="57" customHeight="1">
      <x:c r="B21" s="73" t="str">
        <x:v>[PR7:DB-HTTP-02]</x:v>
      </x:c>
      <x:c r="C21" s="26" t="str">
        <x:v>Real DB tariff / 12 min</x:v>
      </x:c>
      <x:c r="D21" s="26" t="str">
        <x:v>Case DB-HTTP-02 (PostgreSQL). Use QA-only PaymentService HTTP/mock/PostgreSQL fixture on commit fe13d7ce; verify source report for exact request.</x:v>
      </x:c>
      <x:c r="E21" s="26" t="str">
        <x:v>200 / 0 VND, version 3</x:v>
      </x:c>
      <x:c r="F21" s="26" t="str">
        <x:v>QA Payment database/mock as applicable</x:v>
      </x:c>
      <x:c r="G21" s="26" t="str">
        <x:v>Pass</x:v>
      </x:c>
      <x:c r="H21" s="26" t="str">
        <x:v>2026-10-27</x:v>
      </x:c>
      <x:c r="I21" s="26" t="str">
        <x:v>QA Tester</x:v>
      </x:c>
      <x:c r="J21" s="26" t="n">
        <x:v>1</x:v>
      </x:c>
      <x:c r="K21" s="26" t="n">
        <x:f>IF(G21="Pass",1,0)</x:f>
        <x:v>1</x:v>
      </x:c>
      <x:c r="L21" s="46" t="n">
        <x:f>IFERROR(K21/J21,0)</x:f>
        <x:v>1</x:v>
      </x:c>
      <x:c r="M21" s="26" t="str">
        <x:v>200 / 0 VND, version 3
Source DB-HTTP-02; Commit fe13d7ce.</x:v>
      </x:c>
      <x:c r="N21" s="26" t="str">
        <x:v>SPARK-314 (QA) | SPARK-229 (BE)</x:v>
      </x:c>
      <x:c r="O21" s="26" t="str">
        <x:v>fe13d7ce0895786dfcd6906ff81cd6a6edbf023f</x:v>
      </x:c>
      <x:c r="P21" s="26" t="str">
        <x:v>PR7_QA_Test_Report.xlsx!Test Cases row 55; User-pasted PowerShell output. Original execution log not in ZIP.</x:v>
      </x:c>
      <x:c r="Q21" s="26" t="str">
        <x:v>API/DB/mocked Reservation; PaymentService initiating request</x:v>
      </x:c>
    </x:row>
    <x:row r="22" ht="57" customHeight="1">
      <x:c r="B22" s="73" t="str">
        <x:v>[PR7:DB-HTTP-03]</x:v>
      </x:c>
      <x:c r="C22" s="26" t="str">
        <x:v>Real DB tariff / 16 min</x:v>
      </x:c>
      <x:c r="D22" s="26" t="str">
        <x:v>Case DB-HTTP-03 (PostgreSQL). Use QA-only PaymentService HTTP/mock/PostgreSQL fixture on commit fe13d7ce; verify source report for exact request.</x:v>
      </x:c>
      <x:c r="E22" s="26" t="str">
        <x:v>200 / 5,000 VND, version 3</x:v>
      </x:c>
      <x:c r="F22" s="26" t="str">
        <x:v>QA Payment database/mock as applicable</x:v>
      </x:c>
      <x:c r="G22" s="26" t="str">
        <x:v>Pass</x:v>
      </x:c>
      <x:c r="H22" s="26" t="str">
        <x:v>2026-10-27</x:v>
      </x:c>
      <x:c r="I22" s="26" t="str">
        <x:v>QA Tester</x:v>
      </x:c>
      <x:c r="J22" s="26" t="n">
        <x:v>1</x:v>
      </x:c>
      <x:c r="K22" s="26" t="n">
        <x:f>IF(G22="Pass",1,0)</x:f>
        <x:v>1</x:v>
      </x:c>
      <x:c r="L22" s="46" t="n">
        <x:f>IFERROR(K22/J22,0)</x:f>
        <x:v>1</x:v>
      </x:c>
      <x:c r="M22" s="26" t="str">
        <x:v>200 / 5,000 VND, version 3
Source DB-HTTP-03; Commit fe13d7ce.</x:v>
      </x:c>
      <x:c r="N22" s="26" t="str">
        <x:v>SPARK-314 (QA) | SPARK-229 (BE)</x:v>
      </x:c>
      <x:c r="O22" s="26" t="str">
        <x:v>fe13d7ce0895786dfcd6906ff81cd6a6edbf023f</x:v>
      </x:c>
      <x:c r="P22" s="26" t="str">
        <x:v>PR7_QA_Test_Report.xlsx!Test Cases row 56; User-pasted PowerShell output. Original execution log not in ZIP.</x:v>
      </x:c>
      <x:c r="Q22" s="26" t="str">
        <x:v>API/DB/mocked Reservation; PaymentService initiating request</x:v>
      </x:c>
    </x:row>
    <x:row r="23" ht="57" customHeight="1">
      <x:c r="B23" s="73" t="str">
        <x:v>[PR7:DB-HTTP-04]</x:v>
      </x:c>
      <x:c r="C23" s="26" t="str">
        <x:v>Real DB tariff / 150 min</x:v>
      </x:c>
      <x:c r="D23" s="26" t="str">
        <x:v>Case DB-HTTP-04 (PostgreSQL). Use QA-only PaymentService HTTP/mock/PostgreSQL fixture on commit fe13d7ce; verify source report for exact request.</x:v>
      </x:c>
      <x:c r="E23" s="26" t="str">
        <x:v>200 / 50,000 VND, version 3</x:v>
      </x:c>
      <x:c r="F23" s="26" t="str">
        <x:v>QA Payment database/mock as applicable</x:v>
      </x:c>
      <x:c r="G23" s="26" t="str">
        <x:v>Pass</x:v>
      </x:c>
      <x:c r="H23" s="26" t="str">
        <x:v>2026-10-27</x:v>
      </x:c>
      <x:c r="I23" s="26" t="str">
        <x:v>QA Tester</x:v>
      </x:c>
      <x:c r="J23" s="26" t="n">
        <x:v>1</x:v>
      </x:c>
      <x:c r="K23" s="26" t="n">
        <x:f>IF(G23="Pass",1,0)</x:f>
        <x:v>1</x:v>
      </x:c>
      <x:c r="L23" s="46" t="n">
        <x:f>IFERROR(K23/J23,0)</x:f>
        <x:v>1</x:v>
      </x:c>
      <x:c r="M23" s="26" t="str">
        <x:v>200 / 50,000 VND, version 3
Source DB-HTTP-04; Commit fe13d7ce.</x:v>
      </x:c>
      <x:c r="N23" s="26" t="str">
        <x:v>SPARK-314 (QA) | SPARK-229 (BE)</x:v>
      </x:c>
      <x:c r="O23" s="26" t="str">
        <x:v>fe13d7ce0895786dfcd6906ff81cd6a6edbf023f</x:v>
      </x:c>
      <x:c r="P23" s="26" t="str">
        <x:v>PR7_QA_Test_Report.xlsx!Test Cases row 57; User-pasted PowerShell output. Original execution log not in ZIP.</x:v>
      </x:c>
      <x:c r="Q23" s="26" t="str">
        <x:v>API/DB/mocked Reservation; PaymentService initiating request</x:v>
      </x:c>
    </x:row>
    <x:row r="24" ht="57" customHeight="1">
      <x:c r="B24" s="73" t="str">
        <x:v>[PR7:RES-HTTP-02]</x:v>
      </x:c>
      <x:c r="C24" s="26" t="str">
        <x:v>Connection refused</x:v>
      </x:c>
      <x:c r="D24" s="26" t="str">
        <x:v>Case RES-HTTP-02 (Reservation fault). Use QA-only PaymentService HTTP/mock/PostgreSQL fixture on commit fe13d7ce; verify source report for exact request.</x:v>
      </x:c>
      <x:c r="E24" s="26" t="str">
        <x:v>503 / RESERVATION_SERVICE_UNAVAILABLE</x:v>
      </x:c>
      <x:c r="F24" s="26" t="str">
        <x:v>QA Payment database/mock as applicable</x:v>
      </x:c>
      <x:c r="G24" s="26" t="str">
        <x:v>Pass</x:v>
      </x:c>
      <x:c r="H24" s="26" t="str">
        <x:v>2026-10-27</x:v>
      </x:c>
      <x:c r="I24" s="26" t="str">
        <x:v>QA Tester</x:v>
      </x:c>
      <x:c r="J24" s="26" t="n">
        <x:v>1</x:v>
      </x:c>
      <x:c r="K24" s="26" t="n">
        <x:f>IF(G24="Pass",1,0)</x:f>
        <x:v>1</x:v>
      </x:c>
      <x:c r="L24" s="46" t="n">
        <x:f>IFERROR(K24/J24,0)</x:f>
        <x:v>1</x:v>
      </x:c>
      <x:c r="M24" s="26" t="str">
        <x:v>503 / RESERVATION_SERVICE_UNAVAILABLE
Source RES-HTTP-02; Commit fe13d7ce.</x:v>
      </x:c>
      <x:c r="N24" s="26" t="str">
        <x:v>SPARK-314 (QA) | SPARK-229 (BE)</x:v>
      </x:c>
      <x:c r="O24" s="26" t="str">
        <x:v>fe13d7ce0895786dfcd6906ff81cd6a6edbf023f</x:v>
      </x:c>
      <x:c r="P24" s="26" t="str">
        <x:v>PR7_QA_Test_Report.xlsx!Test Cases row 58; User-pasted PowerShell output. Original execution log not in ZIP.</x:v>
      </x:c>
      <x:c r="Q24" s="26" t="str">
        <x:v>API/DB/mocked Reservation; PaymentService initiating request</x:v>
      </x:c>
    </x:row>
    <x:row r="25" ht="57" customHeight="1">
      <x:c r="B25" s="73" t="str">
        <x:v>[PR7:RES-HTTP-03]</x:v>
      </x:c>
      <x:c r="C25" s="26" t="str">
        <x:v>Valid frozen snapshot, string enums</x:v>
      </x:c>
      <x:c r="D25" s="26" t="str">
        <x:v>Case RES-HTTP-03 (Reservation mock). Use QA-only PaymentService HTTP/mock/PostgreSQL fixture on commit fe13d7ce; verify source report for exact request.</x:v>
      </x:c>
      <x:c r="E25" s="26" t="str">
        <x:v>200 / 5,000 VND</x:v>
      </x:c>
      <x:c r="F25" s="26" t="str">
        <x:v>QA Payment database/mock as applicable</x:v>
      </x:c>
      <x:c r="G25" s="26" t="str">
        <x:v>Fail</x:v>
      </x:c>
      <x:c r="H25" s="26" t="str">
        <x:v>2026-10-27</x:v>
      </x:c>
      <x:c r="I25" s="26" t="str">
        <x:v>QA Tester</x:v>
      </x:c>
      <x:c r="J25" s="26" t="n">
        <x:v>1</x:v>
      </x:c>
      <x:c r="K25" s="26" t="n">
        <x:f>IF(G25="Pass",1,0)</x:f>
        <x:v>0</x:v>
      </x:c>
      <x:c r="L25" s="46" t="n">
        <x:f>IFERROR(K25/J25,0)</x:f>
        <x:v>0</x:v>
      </x:c>
      <x:c r="M25" s="26" t="str">
        <x:v>422 / CORRUPTED_POLICY_SNAPSHOT
Source RES-HTTP-03; Commit fe13d7ce. Jira bug SPARK-311 (observed on this SHA; retest required).</x:v>
      </x:c>
      <x:c r="N25" s="26" t="str">
        <x:v>SPARK-314 (QA) | SPARK-229 (BE)</x:v>
      </x:c>
      <x:c r="O25" s="26" t="str">
        <x:v>fe13d7ce0895786dfcd6906ff81cd6a6edbf023f</x:v>
      </x:c>
      <x:c r="P25" s="26" t="str">
        <x:v>PR7_QA_Test_Report.xlsx!Test Cases row 59; User-pasted PowerShell output. Original execution log not in ZIP.</x:v>
      </x:c>
      <x:c r="Q25" s="26" t="str">
        <x:v>API/DB/mocked Reservation; PaymentService initiating request</x:v>
      </x:c>
    </x:row>
    <x:row r="26" ht="57" customHeight="1">
      <x:c r="B26" s="73" t="str">
        <x:v>[PR7:RES-HTTP-04]</x:v>
      </x:c>
      <x:c r="C26" s="26" t="str">
        <x:v>Snapshot service responds 404</x:v>
      </x:c>
      <x:c r="D26" s="26" t="str">
        <x:v>Case RES-HTTP-04 (Reservation mock). Use QA-only PaymentService HTTP/mock/PostgreSQL fixture on commit fe13d7ce; verify source report for exact request.</x:v>
      </x:c>
      <x:c r="E26" s="26" t="str">
        <x:v>422 / CORRUPTED_POLICY_SNAPSHOT</x:v>
      </x:c>
      <x:c r="F26" s="26" t="str">
        <x:v>QA Payment database/mock as applicable</x:v>
      </x:c>
      <x:c r="G26" s="26" t="str">
        <x:v>Pass</x:v>
      </x:c>
      <x:c r="H26" s="26" t="str">
        <x:v>2026-10-27</x:v>
      </x:c>
      <x:c r="I26" s="26" t="str">
        <x:v>QA Tester</x:v>
      </x:c>
      <x:c r="J26" s="26" t="n">
        <x:v>1</x:v>
      </x:c>
      <x:c r="K26" s="26" t="n">
        <x:f>IF(G26="Pass",1,0)</x:f>
        <x:v>1</x:v>
      </x:c>
      <x:c r="L26" s="46" t="n">
        <x:f>IFERROR(K26/J26,0)</x:f>
        <x:v>1</x:v>
      </x:c>
      <x:c r="M26" s="26" t="str">
        <x:v>422 / CORRUPTED_POLICY_SNAPSHOT
Source RES-HTTP-04; Commit fe13d7ce.</x:v>
      </x:c>
      <x:c r="N26" s="26" t="str">
        <x:v>SPARK-314 (QA) | SPARK-229 (BE)</x:v>
      </x:c>
      <x:c r="O26" s="26" t="str">
        <x:v>fe13d7ce0895786dfcd6906ff81cd6a6edbf023f</x:v>
      </x:c>
      <x:c r="P26" s="26" t="str">
        <x:v>PR7_QA_Test_Report.xlsx!Test Cases row 60; User-pasted PowerShell output. Original execution log not in ZIP.</x:v>
      </x:c>
      <x:c r="Q26" s="26" t="str">
        <x:v>API/DB/mocked Reservation; PaymentService initiating request</x:v>
      </x:c>
    </x:row>
    <x:row r="27" ht="57" customHeight="1">
      <x:c r="B27" s="73" t="str">
        <x:v>[PR7:RES-HTTP-05]</x:v>
      </x:c>
      <x:c r="C27" s="26" t="str">
        <x:v>Invalid snapshot JSON</x:v>
      </x:c>
      <x:c r="D27" s="26" t="str">
        <x:v>Case RES-HTTP-05 (Reservation mock). Use QA-only PaymentService HTTP/mock/PostgreSQL fixture on commit fe13d7ce; verify source report for exact request.</x:v>
      </x:c>
      <x:c r="E27" s="26" t="str">
        <x:v>422 / CORRUPTED_POLICY_SNAPSHOT</x:v>
      </x:c>
      <x:c r="F27" s="26" t="str">
        <x:v>QA Payment database/mock as applicable</x:v>
      </x:c>
      <x:c r="G27" s="26" t="str">
        <x:v>Pass</x:v>
      </x:c>
      <x:c r="H27" s="26" t="str">
        <x:v>2026-10-27</x:v>
      </x:c>
      <x:c r="I27" s="26" t="str">
        <x:v>QA Tester</x:v>
      </x:c>
      <x:c r="J27" s="26" t="n">
        <x:v>1</x:v>
      </x:c>
      <x:c r="K27" s="26" t="n">
        <x:f>IF(G27="Pass",1,0)</x:f>
        <x:v>1</x:v>
      </x:c>
      <x:c r="L27" s="46" t="n">
        <x:f>IFERROR(K27/J27,0)</x:f>
        <x:v>1</x:v>
      </x:c>
      <x:c r="M27" s="26" t="str">
        <x:v>422 / CORRUPTED_POLICY_SNAPSHOT
Source RES-HTTP-05; Commit fe13d7ce.</x:v>
      </x:c>
      <x:c r="N27" s="26" t="str">
        <x:v>SPARK-314 (QA) | SPARK-229 (BE)</x:v>
      </x:c>
      <x:c r="O27" s="26" t="str">
        <x:v>fe13d7ce0895786dfcd6906ff81cd6a6edbf023f</x:v>
      </x:c>
      <x:c r="P27" s="26" t="str">
        <x:v>PR7_QA_Test_Report.xlsx!Test Cases row 61; User-pasted PowerShell output. Original execution log not in ZIP.</x:v>
      </x:c>
      <x:c r="Q27" s="26" t="str">
        <x:v>API/DB/mocked Reservation; PaymentService initiating request</x:v>
      </x:c>
    </x:row>
    <x:row r="28" ht="57" customHeight="1">
      <x:c r="B28" s="73" t="str">
        <x:v>[PR7:RES-ENUM-CTRL]</x:v>
      </x:c>
      <x:c r="C28" s="26" t="str">
        <x:v>Same snapshot, numeric enums (0,2)</x:v>
      </x:c>
      <x:c r="D28" s="26" t="str">
        <x:v>Case RES-ENUM-CTRL (Reservation mock). Use QA-only PaymentService HTTP/mock/PostgreSQL fixture on commit fe13d7ce; verify source report for exact request.</x:v>
      </x:c>
      <x:c r="E28" s="26" t="str">
        <x:v>200 / 5,000 VND, version 4</x:v>
      </x:c>
      <x:c r="F28" s="26" t="str">
        <x:v>QA Payment database/mock as applicable</x:v>
      </x:c>
      <x:c r="G28" s="26" t="str">
        <x:v>Pass</x:v>
      </x:c>
      <x:c r="H28" s="26" t="str">
        <x:v>2026-10-27</x:v>
      </x:c>
      <x:c r="I28" s="26" t="str">
        <x:v>QA Tester</x:v>
      </x:c>
      <x:c r="J28" s="26" t="n">
        <x:v>1</x:v>
      </x:c>
      <x:c r="K28" s="26" t="n">
        <x:f>IF(G28="Pass",1,0)</x:f>
        <x:v>1</x:v>
      </x:c>
      <x:c r="L28" s="46" t="n">
        <x:f>IFERROR(K28/J28,0)</x:f>
        <x:v>1</x:v>
      </x:c>
      <x:c r="M28" s="26" t="str">
        <x:v>200 / 5,000 VND, version 4
Source RES-ENUM-CTRL; Commit fe13d7ce.</x:v>
      </x:c>
      <x:c r="N28" s="26" t="str">
        <x:v>SPARK-314 (QA) | SPARK-229 (BE)</x:v>
      </x:c>
      <x:c r="O28" s="26" t="str">
        <x:v>fe13d7ce0895786dfcd6906ff81cd6a6edbf023f</x:v>
      </x:c>
      <x:c r="P28" s="26" t="str">
        <x:v>PR7_QA_Test_Report.xlsx!Test Cases row 62; User-pasted PowerShell output. Original execution log not in ZIP.</x:v>
      </x:c>
      <x:c r="Q28" s="26" t="str">
        <x:v>API/DB/mocked Reservation; PaymentService initiating request</x:v>
      </x:c>
    </x:row>
  </x:sheetData>
  <x:mergeCells>
    <x:mergeCell ref="B1:Q1"/>
    <x:mergeCell ref="C4:Q4"/>
    <x:mergeCell ref="B8:Q8"/>
  </x:mergeCells>
  <x:conditionalFormatting sqref="G10:G28">
    <x:cfRule type="expression" dxfId="0" priority="1">
      <x:formula>G10="Fail"</x:formula>
    </x:cfRule>
    <x:cfRule type="expression" dxfId="1" priority="2">
      <x:formula>G10="Pass"</x:formula>
    </x:cfRule>
  </x:conditionalFormatting>
  <x:dataValidations count="1">
    <x:dataValidation type="list" sqref="G10:G28">
      <x:formula1>"Pass,Fail,Untested,Blocked,N/A"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2" max="2" width="25" hidden="0" customWidth="1"/>
    <x:col min="3" max="3" width="31" hidden="0" customWidth="1"/>
    <x:col min="4" max="4" width="34" hidden="0" customWidth="1"/>
    <x:col min="5" max="5" width="48" hidden="0" customWidth="1"/>
    <x:col min="6" max="6" width="38" hidden="0" customWidth="1"/>
  </x:cols>
  <x:sheetData>
    <x:row r="1" ht="32" customHeight="1">
      <x:c r="B1" s="61" t="str">
        <x:v>MIGRATION AUDIT</x:v>
      </x:c>
      <x:c r="C1" s="61"/>
      <x:c r="D1" s="61"/>
      <x:c r="E1" s="61"/>
      <x:c r="F1" s="61"/>
    </x:row>
    <x:row r="3">
      <x:c r="B3" s="71" t="str">
        <x:v>Source / baseline</x:v>
      </x:c>
      <x:c r="C3" s="71" t="str">
        <x:v>Executed QA cases</x:v>
      </x:c>
      <x:c r="D3" s="71" t="str">
        <x:v>Unit test reference</x:v>
      </x:c>
      <x:c r="E3" s="71" t="str">
        <x:v>Known defect / boundary</x:v>
      </x:c>
      <x:c r="F3" s="71" t="str">
        <x:v>Caveats</x:v>
      </x:c>
    </x:row>
    <x:row r="4" ht="53" customHeight="1">
      <x:c r="B4" s="26" t="str">
        <x:v>PR14 / 5995394ef27c</x:v>
      </x:c>
      <x:c r="C4" s="26" t="str">
        <x:v>12 PASS / 1 FAIL / 4 UNTESTED / 1 BLOCKED</x:v>
      </x:c>
      <x:c r="D4" s="26" t="str">
        <x:v>80 Passed / 0 Failed / 0 Skipped</x:v>
      </x:c>
      <x:c r="E4" s="26" t="str">
        <x:v>SPARK-313, webhook 500 on mismatched amount</x:v>
      </x:c>
      <x:c r="F4" s="26" t="str">
        <x:v>Mock only; no real payOS verification; E2E unverified</x:v>
      </x:c>
    </x:row>
    <x:row r="5" ht="53" customHeight="1">
      <x:c r="B5" s="26" t="str">
        <x:v>PR7 / fe13d7ce</x:v>
      </x:c>
      <x:c r="C5" s="26" t="str">
        <x:v>18 PASS / 1 FAIL = 19 QA cases</x:v>
      </x:c>
      <x:c r="D5" s="26" t="str">
        <x:v>42 Passed / 0 Failed / 0 Skipped</x:v>
      </x:c>
      <x:c r="E5" s="26" t="str">
        <x:v>RES-HTTP-03 string enum 422 (expected 200); bug SPARK-311</x:v>
      </x:c>
      <x:c r="F5" s="26" t="str">
        <x:v>PR7 report references console log; raw log absent in source ZIP; do not infer retest on PR14 SHA</x:v>
      </x:c>
    </x:row>
    <x:row r="6" ht="53" customHeight="1">
      <x:c r="B6" s="26" t="str">
        <x:v>PR7 distinction</x:v>
      </x:c>
      <x:c r="C6" s="26" t="str">
        <x:v>19 QA cases imported to PR7_Pricing_QA</x:v>
      </x:c>
      <x:c r="D6" s="26" t="str">
        <x:v>42 UNIT-* rows intentionally not imported</x:v>
      </x:c>
      <x:c r="E6" s="26" t="str">
        <x:v>Reservation adapter first caller is PaymentService</x:v>
      </x:c>
      <x:c r="F6" s="26" t="str">
        <x:v>QA task created SPARK-314 on 2026-10-28; implementation SPARK-229; SPARK-311 fix NOT verified.</x:v>
      </x:c>
    </x:row>
    <x:row r="7" ht="53" customHeight="1">
      <x:c r="B7" s="26" t="str">
        <x:v>Combined master inventory</x:v>
      </x:c>
      <x:c r="C7" s="26" t="str">
        <x:v>30 PASS / 2 FAIL / 4 UNTESTED / 1 BLOCKED</x:v>
      </x:c>
      <x:c r="D7" s="26" t="str">
        <x:v>Separate 80+42 Unit runs, DIFFERENT SHAs</x:v>
      </x:c>
      <x:c r="E7" s="26" t="str">
        <x:v>HOLD – no same-SHA regression claim</x:v>
      </x:c>
      <x:c r="F7" s="26" t="str">
        <x:v>Aggregate across historical tasks only; not release-wide signoff</x:v>
      </x:c>
    </x:row>
  </x:sheetData>
  <x:mergeCells>
    <x:mergeCell ref="B1:F1"/>
  </x:mergeCells>
  <x:pageMargins left="0.7" right="0.7" top="0.75" bottom="0.75" header="0.3" footer="0.3"/>
</x:worksheet>
</file>