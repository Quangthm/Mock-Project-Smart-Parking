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bd7afcd26e48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8867a98170314394"/>
    <x:sheet xmlns:r="http://schemas.openxmlformats.org/officeDocument/2006/relationships" name="Cases" sheetId="2" r:id="R4f99f30394314674"/>
    <x:sheet xmlns:r="http://schemas.openxmlformats.org/officeDocument/2006/relationships" name="Test Report" sheetId="3" r:id="R9596b98652704bc6"/>
    <x:sheet xmlns:r="http://schemas.openxmlformats.org/officeDocument/2006/relationships" name="Test Case List" sheetId="4" r:id="R4a489a4e7b8948c8"/>
    <x:sheet xmlns:r="http://schemas.openxmlformats.org/officeDocument/2006/relationships" name="Case Template" sheetId="5" r:id="Ra89d91406cc04baf"/>
    <x:sheet xmlns:r="http://schemas.openxmlformats.org/officeDocument/2006/relationships" name="Review Checklist" sheetId="6" r:id="Rd6050157895f4eb4"/>
    <x:sheet xmlns:r="http://schemas.openxmlformats.org/officeDocument/2006/relationships" name="Adoption &amp; Signoff" sheetId="7" r:id="R5c7a3ef9292e43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sz val="11"/>
      <x:color rgb="FF20354B"/>
      <x:name val="Calibri"/>
    </x:font>
    <x:font>
      <x:b/>
      <x:sz val="12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0F5F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>
          <x:bgColor rgb="FFDDF1E5"/>
        </x:patternFill>
      </x:fill>
    </x:dxf>
    <x:dxf>
      <x:fill>
        <x:patternFill>
          <x:bgColor rgb="FFFCE1E1"/>
        </x:patternFill>
      </x:fill>
    </x:dxf>
    <x:dxf>
      <x:fill>
        <x:patternFill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374eac7d7a475c" /><Relationship Type="http://schemas.openxmlformats.org/officeDocument/2006/relationships/theme" Target="/xl/theme/theme1.xml" Id="Re07a2483ee31437a" /><Relationship Type="http://schemas.openxmlformats.org/officeDocument/2006/relationships/sharedStrings" Target="/xl/sharedStrings.xml" Id="Rbb7fa30786cb40a0" /><Relationship Type="http://schemas.openxmlformats.org/officeDocument/2006/relationships/worksheet" Target="/xl/worksheets/sheet1.xml" Id="R8867a98170314394" /><Relationship Type="http://schemas.openxmlformats.org/officeDocument/2006/relationships/worksheet" Target="/xl/worksheets/sheet2.xml" Id="R4f99f30394314674" /><Relationship Type="http://schemas.openxmlformats.org/officeDocument/2006/relationships/worksheet" Target="/xl/worksheets/sheet3.xml" Id="R9596b98652704bc6" /><Relationship Type="http://schemas.openxmlformats.org/officeDocument/2006/relationships/worksheet" Target="/xl/worksheets/sheet4.xml" Id="R4a489a4e7b8948c8" /><Relationship Type="http://schemas.openxmlformats.org/officeDocument/2006/relationships/worksheet" Target="/xl/worksheets/sheet5.xml" Id="Ra89d91406cc04baf" /><Relationship Type="http://schemas.openxmlformats.org/officeDocument/2006/relationships/worksheet" Target="/xl/worksheets/sheet6.xml" Id="Rd6050157895f4eb4" /><Relationship Type="http://schemas.openxmlformats.org/officeDocument/2006/relationships/worksheet" Target="/xl/worksheets/sheet7.xml" Id="R5c7a3ef9292e4357" /></Relationships>
</file>

<file path=xl/tables/table1.xml><?xml version="1.0" encoding="utf-8"?>
<x:table xmlns:x="http://schemas.openxmlformats.org/spreadsheetml/2006/main" id="1" name="Sprint2Cases" displayName="Sprint2Cases" ref="A1:V30" headerRowCount="1" totalsRowCount="0" totalsRowShown="0">
  <x:tableColumns count="22">
    <x:tableColumn id="1" name="Test ID"/>
    <x:tableColumn id="2" name="Title"/>
    <x:tableColumn id="3" name="FR / requirement"/>
    <x:tableColumn id="4" name="BR"/>
    <x:tableColumn id="5" name="US"/>
    <x:tableColumn id="6" name="UC"/>
    <x:tableColumn id="7" name="API"/>
    <x:tableColumn id="8" name="Jira"/>
    <x:tableColumn id="9" name="Type / dimension"/>
    <x:tableColumn id="10" name="Risk"/>
    <x:tableColumn id="11" name="Preconditions"/>
    <x:tableColumn id="12" name="Data / setup"/>
    <x:tableColumn id="13" name="Steps"/>
    <x:tableColumn id="14" name="Independent expected result"/>
    <x:tableColumn id="15" name="Actual result"/>
    <x:tableColumn id="16" name="Evidence links"/>
    <x:tableColumn id="17" name="Status"/>
    <x:tableColumn id="18" name="Defect links"/>
    <x:tableColumn id="19" name="Retest / prior run links"/>
    <x:tableColumn id="20" name="Tester"/>
    <x:tableColumn id="21" name="Executed UTC"/>
    <x:tableColumn id="22" name="Baseline / readine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1d6a4c38ab4df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00" hidden="0" customWidth="1"/>
  </x:cols>
  <x:sheetData>
    <x:row r="1" ht="32" customHeight="1">
      <x:c r="A1" s="5" t="str">
        <x:v>SMARTPARK • IOTSERVICE TEST REPORT</x:v>
      </x:c>
      <x:c r="B1" s="5" t="str">
        <x:v>SPARK-201 template v1.0 / PR #14</x:v>
      </x:c>
    </x:row>
    <x:row r="2" ht="60" customHeight="1">
      <x:c r="A2" s="6" t="str">
        <x:v>Document status</x:v>
      </x:c>
      <x:c r="B2" s="6" t="str">
        <x:v>No PR14 cases executed for this service; NOT approved / reviewer pending</x:v>
      </x:c>
    </x:row>
    <x:row r="3" ht="60" customHeight="1">
      <x:c r="A3" s="3" t="str">
        <x:v>Prepared</x:v>
      </x:c>
      <x:c r="B3" s="3" t="str">
        <x:v>2026-10-27 • QA execution log; reviewer and signoff pending</x:v>
      </x:c>
    </x:row>
    <x:row r="4" ht="60" customHeight="1">
      <x:c r="A4" s="6" t="str">
        <x:v>Baseline</x:v>
      </x:c>
      <x:c r="B4" s="6" t="str">
        <x:v>PR #14 merged into develop; Jira SPARK-247 / SPARK-249 / SPARK-250; SPARK-201 format is review-ready (not officially adopted)</x:v>
      </x:c>
    </x:row>
    <x:row r="5" ht="60" customHeight="1">
      <x:c r="A5" s="3" t="str">
        <x:v>Code snapshot</x:v>
      </x:c>
      <x:c r="B5" s="3" t="str">
        <x:v>Merge SHA 5995394ef27c789cdd2cedc0d256e85d23d7e411 | PaymentService net10.0 | FE Vite 8.3.1</x:v>
      </x:c>
    </x:row>
    <x:row r="6" ht="60" customHeight="1">
      <x:c r="A6" s="6" t="str">
        <x:v>Service owner rule</x:v>
      </x:c>
      <x:c r="B6" s="6" t="str">
        <x:v>Each test recorded under its first/backend root caller; downstream dependencies are referenced, not duplicated</x:v>
      </x:c>
    </x:row>
    <x:row r="7" ht="60" customHeight="1">
      <x:c r="A7" s="3" t="str">
        <x:v>Execution</x:v>
      </x:c>
      <x:c r="B7" s="3" t="str">
        <x:v>0 service-owned cases: 0 Pass, 0 Fail, 0 Blocked, 0 Not Run</x:v>
      </x:c>
    </x:row>
    <x:row r="8" ht="60" customHeight="1">
      <x:c r="A8" s="6" t="str">
        <x:v>Reusable case rule</x:v>
      </x:c>
      <x:c r="B8" s="6" t="str">
        <x:v>No cross-service duplication; FR/BR/US/UC not guessed; unverified mappings labelled for reviewer</x:v>
      </x:c>
    </x:row>
    <x:row r="9" ht="60" customHeight="1">
      <x:c r="A9" s="3" t="str">
        <x:v>Coverage note</x:v>
      </x:c>
      <x:c r="B9" s="3" t="str">
        <x:v>Unit tests are QA rerun of developer-authored assertions; PostgreSQL/mock cases separately identified</x:v>
      </x:c>
    </x:row>
    <x:row r="10" ht="60" customHeight="1">
      <x:c r="A10" s="6" t="str">
        <x:v>Evidence / frontend</x:v>
      </x:c>
      <x:c r="B10" s="6" t="str">
        <x:v>Frontend-only homepage tests are tracked in central Word QA report, not allocated to a backend service.</x:v>
      </x:c>
    </x:row>
    <x:row r="11" ht="60" customHeight="1">
      <x:c r="A11" s="3" t="str">
        <x:v>Release gate</x:v>
      </x:c>
      <x:c r="B11" s="3" t="str">
        <x:v>Not sign-off; Payment webhook FAIL; E2E not verified. Evidence refs are local console/session notes, not committed links.</x:v>
      </x:c>
    </x:row>
    <x:row r="12" ht="60" customHeight="1">
      <x:c r="A12" s="6" t="str">
        <x:v>Original format</x:v>
      </x:c>
      <x:c r="B12" s="6" t="str">
        <x:v>Adapted directly from uploaded SPARK-201 Tester-Workbook-v1.0.xlsx: all 7 original tabs retained.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34" hidden="0" customWidth="1"/>
    <x:col min="3" max="3" width="26" hidden="0" customWidth="1"/>
    <x:col min="4" max="4" width="33" hidden="0" customWidth="1"/>
    <x:col min="5" max="5" width="25" hidden="0" customWidth="1"/>
    <x:col min="6" max="6" width="23" hidden="0" customWidth="1"/>
    <x:col min="7" max="7" width="42" hidden="0" customWidth="1"/>
    <x:col min="8" max="8" width="28" hidden="0" customWidth="1"/>
    <x:col min="9" max="9" width="29" hidden="0" customWidth="1"/>
    <x:col min="10" max="10" width="12" hidden="0" customWidth="1"/>
    <x:col min="11" max="11" width="45" hidden="0" customWidth="1"/>
    <x:col min="12" max="12" width="42" hidden="0" customWidth="1"/>
    <x:col min="13" max="13" width="65" hidden="0" customWidth="1"/>
    <x:col min="14" max="14" width="70" hidden="0" customWidth="1"/>
    <x:col min="15" max="15" width="48" hidden="0" customWidth="1"/>
    <x:col min="16" max="16" width="30" hidden="0" customWidth="1"/>
    <x:col min="17" max="17" width="15" hidden="0" customWidth="1"/>
    <x:col min="18" max="18" width="25" hidden="0" customWidth="1"/>
    <x:col min="19" max="19" width="30" hidden="0" customWidth="1"/>
    <x:col min="20" max="20" width="22" hidden="0" customWidth="1"/>
    <x:col min="21" max="21" width="24" hidden="0" customWidth="1"/>
    <x:col min="22" max="22" width="60" hidden="0" customWidth="1"/>
  </x:cols>
  <x:sheetData>
    <x:row r="1" ht="32" customHeight="1">
      <x:c r="A1" s="5" t="str">
        <x:v>Test ID</x:v>
      </x:c>
      <x:c r="B1" s="5" t="str">
        <x:v>Title</x:v>
      </x:c>
      <x:c r="C1" s="5" t="str">
        <x:v>FR / requirement</x:v>
      </x:c>
      <x:c r="D1" s="5" t="str">
        <x:v>BR</x:v>
      </x:c>
      <x:c r="E1" s="5" t="str">
        <x:v>US</x:v>
      </x:c>
      <x:c r="F1" s="5" t="str">
        <x:v>UC</x:v>
      </x:c>
      <x:c r="G1" s="5" t="str">
        <x:v>API</x:v>
      </x:c>
      <x:c r="H1" s="5" t="str">
        <x:v>Jira</x:v>
      </x:c>
      <x:c r="I1" s="5" t="str">
        <x:v>Type / dimension</x:v>
      </x:c>
      <x:c r="J1" s="5" t="str">
        <x:v>Risk</x:v>
      </x:c>
      <x:c r="K1" s="5" t="str">
        <x:v>Preconditions</x:v>
      </x:c>
      <x:c r="L1" s="5" t="str">
        <x:v>Data / setup</x:v>
      </x:c>
      <x:c r="M1" s="5" t="str">
        <x:v>Steps</x:v>
      </x:c>
      <x:c r="N1" s="5" t="str">
        <x:v>Independent expected result</x:v>
      </x:c>
      <x:c r="O1" s="5" t="str">
        <x:v>Actual result</x:v>
      </x:c>
      <x:c r="P1" s="5" t="str">
        <x:v>Evidence links</x:v>
      </x:c>
      <x:c r="Q1" s="5" t="str">
        <x:v>Status</x:v>
      </x:c>
      <x:c r="R1" s="5" t="str">
        <x:v>Defect links</x:v>
      </x:c>
      <x:c r="S1" s="5" t="str">
        <x:v>Retest / prior run links</x:v>
      </x:c>
      <x:c r="T1" s="5" t="str">
        <x:v>Tester</x:v>
      </x:c>
      <x:c r="U1" s="5" t="str">
        <x:v>Executed UTC</x:v>
      </x:c>
      <x:c r="V1" s="5" t="str">
        <x:v>Baseline / readiness</x:v>
      </x:c>
    </x:row>
    <x:row r="2" ht="126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</x:row>
    <x:row r="3" ht="126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126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</x:row>
    <x:row r="5" ht="1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126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</x:row>
    <x:row r="7" ht="126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</x:row>
    <x:row r="8" ht="126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</x:row>
    <x:row r="9" ht="1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</x:row>
    <x:row r="10" ht="126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</x:row>
    <x:row r="11" ht="1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</x:row>
    <x:row r="12" ht="126" customHeight="1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</x:row>
    <x:row r="13" ht="1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</x:row>
    <x:row r="14" ht="126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</x:row>
    <x:row r="15" ht="1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</x:row>
    <x:row r="16" ht="126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</x:row>
    <x:row r="17" ht="1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</x:row>
    <x:row r="18" ht="126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</x:row>
    <x:row r="19" ht="1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</x:row>
    <x:row r="20" ht="126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  <x:c r="U20" s="6"/>
      <x:c r="V20" s="6"/>
    </x:row>
    <x:row r="21" ht="1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</x:row>
    <x:row r="22" ht="126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</x:row>
    <x:row r="23" ht="1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</x:row>
    <x:row r="24" ht="126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</x:row>
    <x:row r="25" ht="1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</x:row>
    <x:row r="26" ht="126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</x:row>
    <x:row r="27" ht="1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</x:row>
    <x:row r="28" ht="126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</x:row>
    <x:row r="29" ht="1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</x:row>
    <x:row r="30" ht="126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</x:row>
  </x:sheetData>
  <x:conditionalFormatting sqref="Q2:Q200">
    <x:cfRule type="cellIs" dxfId="0" priority="1" operator="equal">
      <x:formula>"Pass"</x:formula>
    </x:cfRule>
    <x:cfRule type="cellIs" dxfId="1" priority="2" operator="equal">
      <x:formula>"Fail"</x:formula>
    </x:cfRule>
    <x:cfRule type="cellIs" dxfId="2" priority="3" operator="equal">
      <x:formula>"Blocked"</x:formula>
    </x:cfRule>
  </x:conditionalFormatting>
  <x:dataValidations count="1">
    <x:dataValidation type="list" sqref="Q2:Q200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1d6a4c38ab4df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8" hidden="0" customWidth="1"/>
    <x:col min="3" max="3" width="70" hidden="0" customWidth="1"/>
  </x:cols>
  <x:sheetData>
    <x:row r="1" ht="32" customHeight="1">
      <x:c r="A1" s="5" t="str">
        <x:v>Metric</x:v>
      </x:c>
      <x:c r="B1" s="5" t="str">
        <x:v>Value</x:v>
      </x:c>
      <x:c r="C1" s="5" t="str">
        <x:v>Interpretation</x:v>
      </x:c>
    </x:row>
    <x:row r="2" ht="60" customHeight="1">
      <x:c r="A2" s="6" t="str">
        <x:v>Total cases</x:v>
      </x:c>
      <x:c r="B2" s="6" t="n">
        <x:f>COUNTA(Cases!A2:A500)</x:f>
        <x:v>0</x:v>
      </x:c>
      <x:c r="C2" s="6" t="str">
        <x:v>Only Cases of this owning service; FE-only evidence not counted</x:v>
      </x:c>
    </x:row>
    <x:row r="3" ht="60" customHeight="1">
      <x:c r="A3" s="3" t="str">
        <x:v>Pass</x:v>
      </x:c>
      <x:c r="B3" s="3" t="n">
        <x:f>COUNTIF(Cases!Q2:Q500,"Pass")</x:f>
        <x:v>0</x:v>
      </x:c>
      <x:c r="C3" s="3" t="str">
        <x:v>Executed cases marked Pass; unit runs reflect developer assertions</x:v>
      </x:c>
    </x:row>
    <x:row r="4" ht="60" customHeight="1">
      <x:c r="A4" s="6" t="str">
        <x:v>Fail</x:v>
      </x:c>
      <x:c r="B4" s="6" t="n">
        <x:f>COUNTIF(Cases!Q2:Q500,"Fail")</x:f>
        <x:v>0</x:v>
      </x:c>
      <x:c r="C4" s="6" t="str">
        <x:v>Expected-vs-actual mismatch, pending triage</x:v>
      </x:c>
    </x:row>
    <x:row r="5" ht="60" customHeight="1">
      <x:c r="A5" s="3" t="str">
        <x:v>Blocked</x:v>
      </x:c>
      <x:c r="B5" s="3" t="n">
        <x:f>COUNTIF(Cases!Q2:Q500,"Blocked")</x:f>
        <x:v>0</x:v>
      </x:c>
      <x:c r="C5" s="3" t="str">
        <x:v>Dependency / integration unavailable; not a Pass</x:v>
      </x:c>
    </x:row>
    <x:row r="6" ht="60" customHeight="1">
      <x:c r="A6" s="6" t="str">
        <x:v>Not Run</x:v>
      </x:c>
      <x:c r="B6" s="6" t="n">
        <x:f>COUNTIF(Cases!Q2:Q500,"Not Run")</x:f>
        <x:v>0</x:v>
      </x:c>
      <x:c r="C6" s="6" t="str">
        <x:v>Not executed; no invented results</x:v>
      </x:c>
    </x:row>
    <x:row r="7" ht="60" customHeight="1">
      <x:c r="A7" s="3" t="str">
        <x:v>N/A</x:v>
      </x:c>
      <x:c r="B7" s="3" t="n">
        <x:f>COUNTIF(Cases!Q2:Q500,"N/A")</x:f>
        <x:v>0</x:v>
      </x:c>
      <x:c r="C7" s="3" t="str">
        <x:v>Non-applicability only after approval</x:v>
      </x:c>
    </x:row>
    <x:row r="8" ht="60" customHeight="1">
      <x:c r="A8" s="6" t="str">
        <x:v>Pass rate</x:v>
      </x:c>
      <x:c r="B8" s="7" t="str">
        <x:f>IF(B3+B4=0,"n/a",B3/(B3+B4))</x:f>
        <x:v>n/a</x:v>
      </x:c>
      <x:c r="C8" s="6" t="str">
        <x:v>Pass / (Pass + Fail), not a release acceptance score</x:v>
      </x:c>
    </x:row>
    <x:row r="9" ht="60" customHeight="1">
      <x:c r="A9" s="3" t="str">
        <x:v>Execution coverage</x:v>
      </x:c>
      <x:c r="B9" s="8" t="str">
        <x:f>IF(B2-B7=0,"n/a",(B3+B4)/(B2-B7))</x:f>
        <x:v>n/a</x:v>
      </x:c>
      <x:c r="C9" s="3" t="str">
        <x:v>(Pass + Fail) / (Total − N/A), not complete E2E</x:v>
      </x:c>
    </x:row>
    <x:row r="10" ht="60" customHeight="1">
      <x:c r="A10" s="6" t="str">
        <x:v>Run / build</x:v>
      </x:c>
      <x:c r="B10" s="6" t="str">
        <x:v>PR14 merged SHA 5995394ef27c / 2026-10-27 / QA mock + local PostgreSQL</x:v>
      </x:c>
      <x:c r="C10" s="6" t="str">
        <x:v>Record code, schema, FE and environment versions</x:v>
      </x:c>
    </x:row>
    <x:row r="11" ht="60" customHeight="1">
      <x:c r="A11" s="3" t="str">
        <x:v>Evidence report</x:v>
      </x:c>
      <x:c r="B11" s="3" t="str">
        <x:v>Source mapping / local QA run context; no live service execution</x:v>
      </x:c>
      <x:c r="C11" s="3" t="str">
        <x:v>Attach sanitized report and defect links</x:v>
      </x:c>
    </x:row>
    <x:row r="12" ht="60" customHeight="1">
      <x:c r="A12" s="6" t="str">
        <x:v>Sign-off</x:v>
      </x:c>
      <x:c r="B12" s="6" t="str">
        <x:v>PENDING — service not signed off</x:v>
      </x:c>
      <x:c r="C12" s="6" t="str">
        <x:v>Use Adoption &amp; Signoff; this report is not acceptance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5" hidden="0" customWidth="1"/>
    <x:col min="3" max="3" width="30" hidden="0" customWidth="1"/>
    <x:col min="4" max="4" width="23" hidden="0" customWidth="1"/>
    <x:col min="5" max="5" width="85" hidden="0" customWidth="1"/>
  </x:cols>
  <x:sheetData>
    <x:row r="1" ht="32" customHeight="1">
      <x:c r="A1" s="5" t="str">
        <x:v>Test ID</x:v>
      </x:c>
      <x:c r="B1" s="5" t="str">
        <x:v>Title</x:v>
      </x:c>
      <x:c r="C1" s="5" t="str">
        <x:v>Jira</x:v>
      </x:c>
      <x:c r="D1" s="5" t="str">
        <x:v>Execution location</x:v>
      </x:c>
      <x:c r="E1" s="5" t="str">
        <x:v>Readiness</x:v>
      </x:c>
    </x:row>
    <x:row r="2" ht="60" customHeight="1">
      <x:c r="A2" s="6"/>
      <x:c r="B2" s="6"/>
      <x:c r="C2" s="6"/>
      <x:c r="D2" s="6"/>
      <x:c r="E2" s="6"/>
    </x:row>
    <x:row r="3" ht="60" customHeight="1">
      <x:c r="A3" s="3"/>
      <x:c r="B3" s="3"/>
      <x:c r="C3" s="3"/>
      <x:c r="D3" s="3"/>
      <x:c r="E3" s="3"/>
    </x:row>
    <x:row r="4" ht="60" customHeight="1">
      <x:c r="A4" s="6"/>
      <x:c r="B4" s="6"/>
      <x:c r="C4" s="6"/>
      <x:c r="D4" s="6"/>
      <x:c r="E4" s="6"/>
    </x:row>
    <x:row r="5" ht="60" customHeight="1">
      <x:c r="A5" s="3"/>
      <x:c r="B5" s="3"/>
      <x:c r="C5" s="3"/>
      <x:c r="D5" s="3"/>
      <x:c r="E5" s="3"/>
    </x:row>
    <x:row r="6" ht="60" customHeight="1">
      <x:c r="A6" s="6"/>
      <x:c r="B6" s="6"/>
      <x:c r="C6" s="6"/>
      <x:c r="D6" s="6"/>
      <x:c r="E6" s="6"/>
    </x:row>
    <x:row r="7" ht="60" customHeight="1">
      <x:c r="A7" s="3"/>
      <x:c r="B7" s="3"/>
      <x:c r="C7" s="3"/>
      <x:c r="D7" s="3"/>
      <x:c r="E7" s="3"/>
    </x:row>
    <x:row r="8" ht="60" customHeight="1">
      <x:c r="A8" s="6"/>
      <x:c r="B8" s="6"/>
      <x:c r="C8" s="6"/>
      <x:c r="D8" s="6"/>
      <x:c r="E8" s="6"/>
    </x:row>
    <x:row r="9" ht="60" customHeight="1">
      <x:c r="A9" s="3"/>
      <x:c r="B9" s="3"/>
      <x:c r="C9" s="3"/>
      <x:c r="D9" s="3"/>
      <x:c r="E9" s="3"/>
    </x:row>
    <x:row r="10" ht="60" customHeight="1">
      <x:c r="A10" s="6"/>
      <x:c r="B10" s="6"/>
      <x:c r="C10" s="6"/>
      <x:c r="D10" s="6"/>
      <x:c r="E10" s="6"/>
    </x:row>
    <x:row r="11" ht="60" customHeight="1">
      <x:c r="A11" s="3"/>
      <x:c r="B11" s="3"/>
      <x:c r="C11" s="3"/>
      <x:c r="D11" s="3"/>
      <x:c r="E11" s="3"/>
    </x:row>
    <x:row r="12" ht="60" customHeight="1">
      <x:c r="A12" s="6"/>
      <x:c r="B12" s="6"/>
      <x:c r="C12" s="6"/>
      <x:c r="D12" s="6"/>
      <x:c r="E12" s="6"/>
    </x:row>
    <x:row r="13" ht="60" customHeight="1">
      <x:c r="A13" s="3"/>
      <x:c r="B13" s="3"/>
      <x:c r="C13" s="3"/>
      <x:c r="D13" s="3"/>
      <x:c r="E13" s="3"/>
    </x:row>
    <x:row r="14" ht="60" customHeight="1">
      <x:c r="A14" s="6"/>
      <x:c r="B14" s="6"/>
      <x:c r="C14" s="6"/>
      <x:c r="D14" s="6"/>
      <x:c r="E14" s="6"/>
    </x:row>
    <x:row r="15" ht="60" customHeight="1">
      <x:c r="A15" s="3"/>
      <x:c r="B15" s="3"/>
      <x:c r="C15" s="3"/>
      <x:c r="D15" s="3"/>
      <x:c r="E15" s="3"/>
    </x:row>
    <x:row r="16" ht="60" customHeight="1">
      <x:c r="A16" s="6"/>
      <x:c r="B16" s="6"/>
      <x:c r="C16" s="6"/>
      <x:c r="D16" s="6"/>
      <x:c r="E16" s="6"/>
    </x:row>
    <x:row r="17" ht="60" customHeight="1">
      <x:c r="A17" s="3"/>
      <x:c r="B17" s="3"/>
      <x:c r="C17" s="3"/>
      <x:c r="D17" s="3"/>
      <x:c r="E17" s="3"/>
    </x:row>
    <x:row r="18" ht="60" customHeight="1">
      <x:c r="A18" s="6"/>
      <x:c r="B18" s="6"/>
      <x:c r="C18" s="6"/>
      <x:c r="D18" s="6"/>
      <x:c r="E18" s="6"/>
    </x:row>
    <x:row r="19" ht="60" customHeight="1">
      <x:c r="A19" s="3"/>
      <x:c r="B19" s="3"/>
      <x:c r="C19" s="3"/>
      <x:c r="D19" s="3"/>
      <x:c r="E19" s="3"/>
    </x:row>
    <x:row r="20" ht="60" customHeight="1">
      <x:c r="A20" s="6"/>
      <x:c r="B20" s="6"/>
      <x:c r="C20" s="6"/>
      <x:c r="D20" s="6"/>
      <x:c r="E20" s="6"/>
    </x:row>
    <x:row r="21" ht="60" customHeight="1">
      <x:c r="A21" s="3"/>
      <x:c r="B21" s="3"/>
      <x:c r="C21" s="3"/>
      <x:c r="D21" s="3"/>
      <x:c r="E21" s="3"/>
    </x:row>
    <x:row r="22" ht="60" customHeight="1">
      <x:c r="A22" s="6"/>
      <x:c r="B22" s="6"/>
      <x:c r="C22" s="6"/>
      <x:c r="D22" s="6"/>
      <x:c r="E22" s="6"/>
    </x:row>
    <x:row r="23" ht="60" customHeight="1">
      <x:c r="A23" s="3"/>
      <x:c r="B23" s="3"/>
      <x:c r="C23" s="3"/>
      <x:c r="D23" s="3"/>
      <x:c r="E23" s="3"/>
    </x:row>
    <x:row r="24" ht="60" customHeight="1">
      <x:c r="A24" s="6"/>
      <x:c r="B24" s="6"/>
      <x:c r="C24" s="6"/>
      <x:c r="D24" s="6"/>
      <x:c r="E24" s="6"/>
    </x:row>
    <x:row r="25" ht="60" customHeight="1">
      <x:c r="A25" s="3"/>
      <x:c r="B25" s="3"/>
      <x:c r="C25" s="3"/>
      <x:c r="D25" s="3"/>
      <x:c r="E25" s="3"/>
    </x:row>
    <x:row r="26" ht="60" customHeight="1">
      <x:c r="A26" s="6"/>
      <x:c r="B26" s="6"/>
      <x:c r="C26" s="6"/>
      <x:c r="D26" s="6"/>
      <x:c r="E26" s="6"/>
    </x:row>
    <x:row r="27" ht="60" customHeight="1">
      <x:c r="A27" s="3"/>
      <x:c r="B27" s="3"/>
      <x:c r="C27" s="3"/>
      <x:c r="D27" s="3"/>
      <x:c r="E27" s="3"/>
    </x:row>
    <x:row r="28" ht="60" customHeight="1">
      <x:c r="A28" s="6"/>
      <x:c r="B28" s="6"/>
      <x:c r="C28" s="6"/>
      <x:c r="D28" s="6"/>
      <x:c r="E28" s="6"/>
    </x:row>
    <x:row r="29" ht="60" customHeight="1">
      <x:c r="A29" s="3"/>
      <x:c r="B29" s="3"/>
      <x:c r="C29" s="3"/>
      <x:c r="D29" s="3"/>
      <x:c r="E29" s="3"/>
    </x:row>
    <x:row r="30" ht="60" customHeight="1">
      <x:c r="A30" s="6"/>
      <x:c r="B30" s="6"/>
      <x:c r="C30" s="6"/>
      <x:c r="D30" s="6"/>
      <x:c r="E30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26" hidden="0" customWidth="1"/>
    <x:col min="4" max="4" width="33" hidden="0" customWidth="1"/>
    <x:col min="5" max="5" width="25" hidden="0" customWidth="1"/>
    <x:col min="6" max="6" width="23" hidden="0" customWidth="1"/>
    <x:col min="7" max="7" width="42" hidden="0" customWidth="1"/>
    <x:col min="8" max="8" width="28" hidden="0" customWidth="1"/>
    <x:col min="9" max="9" width="29" hidden="0" customWidth="1"/>
    <x:col min="10" max="10" width="12" hidden="0" customWidth="1"/>
    <x:col min="11" max="11" width="45" hidden="0" customWidth="1"/>
    <x:col min="12" max="12" width="42" hidden="0" customWidth="1"/>
    <x:col min="13" max="13" width="65" hidden="0" customWidth="1"/>
    <x:col min="14" max="14" width="70" hidden="0" customWidth="1"/>
    <x:col min="15" max="15" width="48" hidden="0" customWidth="1"/>
    <x:col min="16" max="16" width="30" hidden="0" customWidth="1"/>
    <x:col min="17" max="17" width="15" hidden="0" customWidth="1"/>
    <x:col min="18" max="18" width="25" hidden="0" customWidth="1"/>
    <x:col min="19" max="19" width="30" hidden="0" customWidth="1"/>
    <x:col min="20" max="20" width="22" hidden="0" customWidth="1"/>
    <x:col min="21" max="21" width="24" hidden="0" customWidth="1"/>
    <x:col min="22" max="22" width="60" hidden="0" customWidth="1"/>
  </x:cols>
  <x:sheetData>
    <x:row r="1" ht="32" customHeight="1">
      <x:c r="A1" s="5" t="str">
        <x:v>Test ID</x:v>
      </x:c>
      <x:c r="B1" s="5" t="str">
        <x:v>Title</x:v>
      </x:c>
      <x:c r="C1" s="5" t="str">
        <x:v>FR / requirement</x:v>
      </x:c>
      <x:c r="D1" s="5" t="str">
        <x:v>BR</x:v>
      </x:c>
      <x:c r="E1" s="5" t="str">
        <x:v>US</x:v>
      </x:c>
      <x:c r="F1" s="5" t="str">
        <x:v>UC</x:v>
      </x:c>
      <x:c r="G1" s="5" t="str">
        <x:v>API</x:v>
      </x:c>
      <x:c r="H1" s="5" t="str">
        <x:v>Jira</x:v>
      </x:c>
      <x:c r="I1" s="5" t="str">
        <x:v>Type / dimension</x:v>
      </x:c>
      <x:c r="J1" s="5" t="str">
        <x:v>Risk</x:v>
      </x:c>
      <x:c r="K1" s="5" t="str">
        <x:v>Preconditions</x:v>
      </x:c>
      <x:c r="L1" s="5" t="str">
        <x:v>Data / setup</x:v>
      </x:c>
      <x:c r="M1" s="5" t="str">
        <x:v>Steps</x:v>
      </x:c>
      <x:c r="N1" s="5" t="str">
        <x:v>Independent expected result</x:v>
      </x:c>
      <x:c r="O1" s="5" t="str">
        <x:v>Actual result</x:v>
      </x:c>
      <x:c r="P1" s="5" t="str">
        <x:v>Evidence links</x:v>
      </x:c>
      <x:c r="Q1" s="5" t="str">
        <x:v>Status</x:v>
      </x:c>
      <x:c r="R1" s="5" t="str">
        <x:v>Defect links</x:v>
      </x:c>
      <x:c r="S1" s="5" t="str">
        <x:v>Retest / prior run links</x:v>
      </x:c>
      <x:c r="T1" s="5" t="str">
        <x:v>Tester</x:v>
      </x:c>
      <x:c r="U1" s="5" t="str">
        <x:v>Executed UTC</x:v>
      </x:c>
      <x:c r="V1" s="5" t="str">
        <x:v>Baseline / readiness</x:v>
      </x:c>
    </x:row>
    <x:row r="2" ht="126" customHeight="1">
      <x:c r="A2" s="6" t="str">
        <x:v>TEMPLATE-001</x:v>
      </x:c>
      <x:c r="B2" s="6" t="str">
        <x:v>Replace with one independently decidable behavior</x:v>
      </x:c>
      <x:c r="C2" s="6" t="str">
        <x:v>FR-ID + version/clause</x:v>
      </x:c>
      <x:c r="D2" s="6" t="str">
        <x:v>BR-ID or N/A + reason</x:v>
      </x:c>
      <x:c r="E2" s="6" t="str">
        <x:v>US-ID</x:v>
      </x:c>
      <x:c r="F2" s="6" t="str">
        <x:v>UC-ID</x:v>
      </x:c>
      <x:c r="G2" s="6" t="str">
        <x:v>Method/path + design version</x:v>
      </x:c>
      <x:c r="H2" s="6" t="str">
        <x:v>SPARK-xxx</x:v>
      </x:c>
      <x:c r="I2" s="6" t="str">
        <x:v>API / Integration / UAT + dimension</x:v>
      </x:c>
      <x:c r="J2" s="6" t="str">
        <x:v>High / Medium / Low</x:v>
      </x:c>
      <x:c r="K2" s="6" t="str">
        <x:v>Authentication/state/dependencies</x:v>
      </x:c>
      <x:c r="L2" s="6" t="str">
        <x:v>Synthetic fixture and generated IDs</x:v>
      </x:c>
      <x:c r="M2" s="6" t="str">
        <x:v>1. Action
2. Read back state</x:v>
      </x:c>
      <x:c r="N2" s="6" t="str">
        <x:v>Independent approved result; include no forbidden side effects</x:v>
      </x:c>
      <x:c r="O2" s="6" t="str"/>
      <x:c r="P2" s="6" t="str"/>
      <x:c r="Q2" s="6" t="str">
        <x:v>Not Run</x:v>
      </x:c>
      <x:c r="R2" s="6" t="str"/>
      <x:c r="S2" s="6" t="str"/>
      <x:c r="T2" s="6" t="str"/>
      <x:c r="U2" s="6" t="str"/>
      <x:c r="V2" s="6" t="str">
        <x:v>Authority / C-A-X-F / dependency</x:v>
      </x:c>
    </x:row>
  </x:sheetData>
  <x:dataValidations count="1">
    <x:dataValidation type="list" sqref="Q2:Q200">
      <x:formula1>"Not Run,Pass,Fail,Blocked,N/A"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2" hidden="0" customWidth="1"/>
    <x:col min="3" max="3" width="80" hidden="0" customWidth="1"/>
    <x:col min="4" max="4" width="20" hidden="0" customWidth="1"/>
    <x:col min="5" max="5" width="48" hidden="0" customWidth="1"/>
    <x:col min="6" max="6" width="30" hidden="0" customWidth="1"/>
  </x:cols>
  <x:sheetData>
    <x:row r="1" ht="32" customHeight="1">
      <x:c r="A1" s="5" t="str">
        <x:v>Check ID</x:v>
      </x:c>
      <x:c r="B1" s="5" t="str">
        <x:v>Review area</x:v>
      </x:c>
      <x:c r="C1" s="5" t="str">
        <x:v>Required evidence</x:v>
      </x:c>
      <x:c r="D1" s="5" t="str">
        <x:v>Yes / No / N/A</x:v>
      </x:c>
      <x:c r="E1" s="5" t="str">
        <x:v>Case / test / gap links</x:v>
      </x:c>
      <x:c r="F1" s="5" t="str">
        <x:v>Reviewer / date</x:v>
      </x:c>
    </x:row>
    <x:row r="2" ht="60" customHeight="1">
      <x:c r="A2" s="6" t="str">
        <x:v>UNIT-01</x:v>
      </x:c>
      <x:c r="B2" s="6" t="str">
        <x:v>Business assertions</x:v>
      </x:c>
      <x:c r="C2" s="6" t="str">
        <x:v>Expected outcome derived independently; return and state checked</x:v>
      </x:c>
      <x:c r="D2" s="6" t="str"/>
      <x:c r="E2" s="6" t="str"/>
      <x:c r="F2" s="6" t="str"/>
    </x:row>
    <x:row r="3" ht="60" customHeight="1">
      <x:c r="A3" s="3" t="str">
        <x:v>UNIT-02</x:v>
      </x:c>
      <x:c r="B3" s="3" t="str">
        <x:v>Branches</x:v>
      </x:c>
      <x:c r="C3" s="3" t="str">
        <x:v>Success, rejection, missing/null, cancellation, failure</x:v>
      </x:c>
      <x:c r="D3" s="3" t="str"/>
      <x:c r="E3" s="3" t="str"/>
      <x:c r="F3" s="3" t="str"/>
    </x:row>
    <x:row r="4" ht="60" customHeight="1">
      <x:c r="A4" s="6" t="str">
        <x:v>UNIT-03</x:v>
      </x:c>
      <x:c r="B4" s="6" t="str">
        <x:v>Controlled clock</x:v>
      </x:c>
      <x:c r="C4" s="6" t="str">
        <x:v>Exact equality boundaries; no sleeps</x:v>
      </x:c>
      <x:c r="D4" s="6" t="str"/>
      <x:c r="E4" s="6" t="str"/>
      <x:c r="F4" s="6" t="str"/>
    </x:row>
    <x:row r="5" ht="60" customHeight="1">
      <x:c r="A5" s="3" t="str">
        <x:v>UNIT-04</x:v>
      </x:c>
      <x:c r="B5" s="3" t="str">
        <x:v>Meaningful mocks</x:v>
      </x:c>
      <x:c r="C5" s="3" t="str">
        <x:v>Do not mock rule under test; forbidden save/message asserted</x:v>
      </x:c>
      <x:c r="D5" s="3" t="str"/>
      <x:c r="E5" s="3" t="str"/>
      <x:c r="F5" s="3" t="str"/>
    </x:row>
    <x:row r="6" ht="60" customHeight="1">
      <x:c r="A6" s="6" t="str">
        <x:v>UNIT-05</x:v>
      </x:c>
      <x:c r="B6" s="6" t="str">
        <x:v>Isolation</x:v>
      </x:c>
      <x:c r="C6" s="6" t="str">
        <x:v>No order/shared-state dependence; repeatable fixtures</x:v>
      </x:c>
      <x:c r="D6" s="6" t="str"/>
      <x:c r="E6" s="6" t="str"/>
      <x:c r="F6" s="6" t="str"/>
    </x:row>
    <x:row r="7" ht="60" customHeight="1">
      <x:c r="A7" s="3" t="str">
        <x:v>UNIT-06</x:v>
      </x:c>
      <x:c r="B7" s="3" t="str">
        <x:v>Mutation/state</x:v>
      </x:c>
      <x:c r="C7" s="3" t="str">
        <x:v>Change a key condition/state update: test must fail; inspect rollback</x:v>
      </x:c>
      <x:c r="D7" s="3" t="str"/>
      <x:c r="E7" s="3" t="str"/>
      <x:c r="F7" s="3" t="str"/>
    </x:row>
    <x:row r="8" ht="60" customHeight="1">
      <x:c r="A8" s="6" t="str">
        <x:v>UNIT-07</x:v>
      </x:c>
      <x:c r="B8" s="6" t="str">
        <x:v>Coverage gaps</x:v>
      </x:c>
      <x:c r="C8" s="6" t="str">
        <x:v>Uncovered rules recorded; mocks do not replace DB/concurrency tests</x:v>
      </x:c>
      <x:c r="D8" s="6" t="str"/>
      <x:c r="E8" s="6" t="str"/>
      <x:c r="F8" s="6" t="str"/>
    </x:row>
    <x:row r="9" ht="60" customHeight="1">
      <x:c r="A9" s="3" t="str">
        <x:v>EDGE-01</x:v>
      </x:c>
      <x:c r="B9" s="3" t="str">
        <x:v>Happy path</x:v>
      </x:c>
      <x:c r="C9" s="3" t="str">
        <x:v>Case IDs and evidence, or reviewed N/A; blocked needs dependency link</x:v>
      </x:c>
      <x:c r="D9" s="3" t="str"/>
      <x:c r="E9" s="3" t="str"/>
      <x:c r="F9" s="3" t="str"/>
    </x:row>
    <x:row r="10" ht="60" customHeight="1">
      <x:c r="A10" s="6" t="str">
        <x:v>EDGE-02</x:v>
      </x:c>
      <x:c r="B10" s="6" t="str">
        <x:v>Negative input</x:v>
      </x:c>
      <x:c r="C10" s="6" t="str">
        <x:v>Case IDs and evidence, or reviewed N/A; blocked needs dependency link</x:v>
      </x:c>
      <x:c r="D10" s="6" t="str"/>
      <x:c r="E10" s="6" t="str"/>
      <x:c r="F10" s="6" t="str"/>
    </x:row>
    <x:row r="11" ht="60" customHeight="1">
      <x:c r="A11" s="3" t="str">
        <x:v>EDGE-03</x:v>
      </x:c>
      <x:c r="B11" s="3" t="str">
        <x:v>Boundary below/equal/above</x:v>
      </x:c>
      <x:c r="C11" s="3" t="str">
        <x:v>Case IDs and evidence, or reviewed N/A; blocked needs dependency link</x:v>
      </x:c>
      <x:c r="D11" s="3" t="str"/>
      <x:c r="E11" s="3" t="str"/>
      <x:c r="F11" s="3" t="str"/>
    </x:row>
    <x:row r="12" ht="60" customHeight="1">
      <x:c r="A12" s="6" t="str">
        <x:v>EDGE-04</x:v>
      </x:c>
      <x:c r="B12" s="6" t="str">
        <x:v>Authorization and foreign scope</x:v>
      </x:c>
      <x:c r="C12" s="6" t="str">
        <x:v>Case IDs and evidence, or reviewed N/A; blocked needs dependency link</x:v>
      </x:c>
      <x:c r="D12" s="6" t="str"/>
      <x:c r="E12" s="6" t="str"/>
      <x:c r="F12" s="6" t="str"/>
    </x:row>
    <x:row r="13" ht="60" customHeight="1">
      <x:c r="A13" s="3" t="str">
        <x:v>EDGE-05</x:v>
      </x:c>
      <x:c r="B13" s="3" t="str">
        <x:v>Current-state revocation</x:v>
      </x:c>
      <x:c r="C13" s="3" t="str">
        <x:v>Case IDs and evidence, or reviewed N/A; blocked needs dependency link</x:v>
      </x:c>
      <x:c r="D13" s="3" t="str"/>
      <x:c r="E13" s="3" t="str"/>
      <x:c r="F13" s="3" t="str"/>
    </x:row>
    <x:row r="14" ht="60" customHeight="1">
      <x:c r="A14" s="6" t="str">
        <x:v>EDGE-06</x:v>
      </x:c>
      <x:c r="B14" s="6" t="str">
        <x:v>State transitions</x:v>
      </x:c>
      <x:c r="C14" s="6" t="str">
        <x:v>Case IDs and evidence, or reviewed N/A; blocked needs dependency link</x:v>
      </x:c>
      <x:c r="D14" s="6" t="str"/>
      <x:c r="E14" s="6" t="str"/>
      <x:c r="F14" s="6" t="str"/>
    </x:row>
    <x:row r="15" ht="60" customHeight="1">
      <x:c r="A15" s="3" t="str">
        <x:v>EDGE-07</x:v>
      </x:c>
      <x:c r="B15" s="3" t="str">
        <x:v>Retry/idempotency</x:v>
      </x:c>
      <x:c r="C15" s="3" t="str">
        <x:v>Case IDs and evidence, or reviewed N/A; blocked needs dependency link</x:v>
      </x:c>
      <x:c r="D15" s="3" t="str"/>
      <x:c r="E15" s="3" t="str"/>
      <x:c r="F15" s="3" t="str"/>
    </x:row>
    <x:row r="16" ht="60" customHeight="1">
      <x:c r="A16" s="6" t="str">
        <x:v>EDGE-08</x:v>
      </x:c>
      <x:c r="B16" s="6" t="str">
        <x:v>Concurrent race</x:v>
      </x:c>
      <x:c r="C16" s="6" t="str">
        <x:v>Case IDs and evidence, or reviewed N/A; blocked needs dependency link</x:v>
      </x:c>
      <x:c r="D16" s="6" t="str"/>
      <x:c r="E16" s="6" t="str"/>
      <x:c r="F16" s="6" t="str"/>
    </x:row>
    <x:row r="17" ht="60" customHeight="1">
      <x:c r="A17" s="3" t="str">
        <x:v>EDGE-09</x:v>
      </x:c>
      <x:c r="B17" s="3" t="str">
        <x:v>Dependency failure/unknown outcome</x:v>
      </x:c>
      <x:c r="C17" s="3" t="str">
        <x:v>Case IDs and evidence, or reviewed N/A; blocked needs dependency link</x:v>
      </x:c>
      <x:c r="D17" s="3" t="str"/>
      <x:c r="E17" s="3" t="str"/>
      <x:c r="F17" s="3" t="str"/>
    </x:row>
    <x:row r="18" ht="60" customHeight="1">
      <x:c r="A18" s="6" t="str">
        <x:v>EDGE-10</x:v>
      </x:c>
      <x:c r="B18" s="6" t="str">
        <x:v>Persistence/rollback</x:v>
      </x:c>
      <x:c r="C18" s="6" t="str">
        <x:v>Case IDs and evidence, or reviewed N/A; blocked needs dependency link</x:v>
      </x:c>
      <x:c r="D18" s="6" t="str"/>
      <x:c r="E18" s="6" t="str"/>
      <x:c r="F18" s="6" t="str"/>
    </x:row>
    <x:row r="19" ht="60" customHeight="1">
      <x:c r="A19" s="3" t="str">
        <x:v>EDGE-11</x:v>
      </x:c>
      <x:c r="B19" s="3" t="str">
        <x:v>Secret leakage</x:v>
      </x:c>
      <x:c r="C19" s="3" t="str">
        <x:v>Case IDs and evidence, or reviewed N/A; blocked needs dependency link</x:v>
      </x:c>
      <x:c r="D19" s="3" t="str"/>
      <x:c r="E19" s="3" t="str"/>
      <x:c r="F19" s="3" t="str"/>
    </x:row>
    <x:row r="20" ht="60" customHeight="1">
      <x:c r="A20" s="6" t="str">
        <x:v>EDGE-12</x:v>
      </x:c>
      <x:c r="B20" s="6" t="str">
        <x:v>Cleanup</x:v>
      </x:c>
      <x:c r="C20" s="6" t="str">
        <x:v>Case IDs and evidence, or reviewed N/A; blocked needs dependency link</x:v>
      </x:c>
      <x:c r="D20" s="6" t="str"/>
      <x:c r="E20" s="6" t="str"/>
      <x:c r="F20" s="6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42" hidden="0" customWidth="1"/>
    <x:col min="3" max="3" width="54" hidden="0" customWidth="1"/>
    <x:col min="4" max="4" width="38" hidden="0" customWidth="1"/>
    <x:col min="5" max="5" width="45" hidden="0" customWidth="1"/>
    <x:col min="6" max="6" width="46" hidden="0" customWidth="1"/>
  </x:cols>
  <x:sheetData>
    <x:row r="1" ht="32" customHeight="1">
      <x:c r="A1" s="5" t="str">
        <x:v>Task / run</x:v>
      </x:c>
      <x:c r="B1" s="5" t="str">
        <x:v>Case IDs / package version</x:v>
      </x:c>
      <x:c r="C1" s="5" t="str">
        <x:v>Execution / defect evidence</x:v>
      </x:c>
      <x:c r="D1" s="5" t="str">
        <x:v>Unit + edge review</x:v>
      </x:c>
      <x:c r="E1" s="5" t="str">
        <x:v>UAT reviewer / evidence</x:v>
      </x:c>
      <x:c r="F1" s="5" t="str">
        <x:v>Decision / conditions / date</x:v>
      </x:c>
    </x:row>
    <x:row r="2" ht="60" customHeight="1">
      <x:c r="A2" s="6" t="str">
        <x:v>PR14 / IoTService</x:v>
      </x:c>
      <x:c r="B2" s="6" t="str">
        <x:v>No cases in scope</x:v>
      </x:c>
      <x:c r="C2" s="6" t="str">
        <x:v>No execution evidence supplied</x:v>
      </x:c>
      <x:c r="D2" s="6" t="str">
        <x:v>Not reviewed</x:v>
      </x:c>
      <x:c r="E2" s="6" t="str">
        <x:v>Not applicable to this PR run</x:v>
      </x:c>
      <x:c r="F2" s="6" t="str">
        <x:v>Pending; not an approval</x:v>
      </x:c>
    </x:row>
    <x:row r="3" ht="60" customHeight="1">
      <x:c r="A3" s="3"/>
      <x:c r="B3" s="3"/>
      <x:c r="C3" s="3"/>
      <x:c r="D3" s="3"/>
      <x:c r="E3" s="3"/>
      <x:c r="F3" s="3"/>
    </x:row>
    <x:row r="4" ht="60" customHeight="1">
      <x:c r="A4" s="6"/>
      <x:c r="B4" s="6"/>
      <x:c r="C4" s="6"/>
      <x:c r="D4" s="6"/>
      <x:c r="E4" s="6"/>
      <x:c r="F4" s="6"/>
    </x:row>
    <x:row r="5" ht="60" customHeight="1">
      <x:c r="A5" s="3"/>
      <x:c r="B5" s="3"/>
      <x:c r="C5" s="3"/>
      <x:c r="D5" s="3"/>
      <x:c r="E5" s="3"/>
      <x:c r="F5" s="3"/>
    </x:row>
    <x:row r="6" ht="60" customHeight="1">
      <x:c r="A6" s="6"/>
      <x:c r="B6" s="6"/>
      <x:c r="C6" s="6"/>
      <x:c r="D6" s="6"/>
      <x:c r="E6" s="6"/>
      <x:c r="F6" s="6"/>
    </x:row>
    <x:row r="7" ht="60" customHeight="1">
      <x:c r="A7" s="3"/>
      <x:c r="B7" s="3"/>
      <x:c r="C7" s="3"/>
      <x:c r="D7" s="3"/>
      <x:c r="E7" s="3"/>
      <x:c r="F7" s="3"/>
    </x:row>
    <x:row r="8" ht="60" customHeight="1">
      <x:c r="A8" s="6"/>
      <x:c r="B8" s="6"/>
      <x:c r="C8" s="6"/>
      <x:c r="D8" s="6"/>
      <x:c r="E8" s="6"/>
      <x:c r="F8" s="6"/>
    </x:row>
    <x:row r="9" ht="60" customHeight="1">
      <x:c r="A9" s="3"/>
      <x:c r="B9" s="3"/>
      <x:c r="C9" s="3"/>
      <x:c r="D9" s="3"/>
      <x:c r="E9" s="3"/>
      <x:c r="F9" s="3"/>
    </x:row>
    <x:row r="10" ht="60" customHeight="1">
      <x:c r="A10" s="6"/>
      <x:c r="B10" s="6"/>
      <x:c r="C10" s="6"/>
      <x:c r="D10" s="6"/>
      <x:c r="E10" s="6"/>
      <x:c r="F10" s="6"/>
    </x:row>
    <x:row r="11" ht="60" customHeight="1">
      <x:c r="A11" s="3"/>
      <x:c r="B11" s="3"/>
      <x:c r="C11" s="3"/>
      <x:c r="D11" s="3"/>
      <x:c r="E11" s="3"/>
      <x:c r="F11" s="3"/>
    </x:row>
    <x:row r="12" ht="60" customHeight="1">
      <x:c r="A12" s="6"/>
      <x:c r="B12" s="6"/>
      <x:c r="C12" s="6"/>
      <x:c r="D12" s="6"/>
      <x:c r="E12" s="6"/>
      <x:c r="F12" s="6"/>
    </x:row>
    <x:row r="13" ht="60" customHeight="1">
      <x:c r="A13" s="3"/>
      <x:c r="B13" s="3"/>
      <x:c r="C13" s="3"/>
      <x:c r="D13" s="3"/>
      <x:c r="E13" s="3"/>
      <x:c r="F13" s="3"/>
    </x:row>
    <x:row r="14" ht="60" customHeight="1">
      <x:c r="A14" s="6"/>
      <x:c r="B14" s="6"/>
      <x:c r="C14" s="6"/>
      <x:c r="D14" s="6"/>
      <x:c r="E14" s="6"/>
      <x:c r="F14" s="6"/>
    </x:row>
  </x:sheetData>
  <x:pageMargins left="0.7" right="0.7" top="0.75" bottom="0.75" header="0.3" footer="0.3"/>
</x:worksheet>
</file>