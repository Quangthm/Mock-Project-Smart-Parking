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0b913fb48649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134eeb0646c24548"/>
    <x:sheet xmlns:r="http://schemas.openxmlformats.org/officeDocument/2006/relationships" name="Test Report" sheetId="2" r:id="R682373262682493f"/>
    <x:sheet xmlns:r="http://schemas.openxmlformats.org/officeDocument/2006/relationships" name="Test Case List" sheetId="3" r:id="R31f22332a43c4f2f"/>
    <x:sheet xmlns:r="http://schemas.openxmlformats.org/officeDocument/2006/relationships" name="Migration Queue" sheetId="4" r:id="R5e22201031b24855"/>
    <x:sheet xmlns:r="http://schemas.openxmlformats.org/officeDocument/2006/relationships" name="PR9_Facility_UI" sheetId="5" r:id="Ra2fe9416c05c41a7"/>
    <x:sheet xmlns:r="http://schemas.openxmlformats.org/officeDocument/2006/relationships" name="Ownership_Audit" sheetId="6" r:id="R14405039f4454a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%"/>
  </x:numFmts>
  <x:fonts count="9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53D3B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  <x:font>
      <x:b/>
      <x:sz val="11"/>
      <x:color rgb="FF17354A"/>
      <x:name val="Carlito"/>
    </x:font>
    <x:font>
      <x:sz val="11"/>
      <x:color rgb="FF2B4552"/>
      <x:name val="Carlito"/>
    </x:font>
    <x:font>
      <x:b/>
      <x:sz val="11"/>
      <x:color rgb="FF0C4D68"/>
      <x:name val="Carlito"/>
    </x:font>
    <x:font>
      <x:b/>
      <x:sz val="11"/>
      <x:color rgb="FF15384A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53D3B"/>
      </x:patternFill>
    </x:fill>
    <x:fill>
      <x:patternFill patternType="solid">
        <x:fgColor rgb="FFEDF0EF"/>
      </x:patternFill>
    </x:fill>
    <x:fill>
      <x:patternFill patternType="solid">
        <x:fgColor rgb="FF718E3E"/>
      </x:patternFill>
    </x:fill>
    <x:fill>
      <x:patternFill patternType="solid">
        <x:fgColor rgb="FFEAF3EA"/>
      </x:patternFill>
    </x:fill>
    <x:fill>
      <x:patternFill patternType="solid">
        <x:fgColor rgb="FF102A3B"/>
      </x:patternFill>
    </x:fill>
    <x:fill>
      <x:patternFill patternType="solid">
        <x:fgColor rgb="FFD7E8EF"/>
      </x:patternFill>
    </x:fill>
    <x:fill>
      <x:patternFill patternType="solid">
        <x:fgColor rgb="FFE7F2F5"/>
      </x:patternFill>
    </x:fill>
    <x:fill>
      <x:patternFill patternType="solid">
        <x:fgColor rgb="FF183C52"/>
      </x:patternFill>
    </x:fill>
    <x:fill>
      <x:patternFill patternType="solid">
        <x:fgColor rgb="FFDDECF2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200" fontId="0" fillId="0" borderId="0" xfId="0" applyNumberFormat="1" applyFont="1" applyFill="1" applyBorder="1"/>
    <x:xf numFmtId="200" fontId="2" fillId="5" borderId="0" xfId="0" applyNumberFormat="1" applyFont="1" applyFill="1" applyBorder="1"/>
    <x:xf numFmtId="200" fontId="0" fillId="0" borderId="1" xfId="0" applyNumberFormat="1" applyFont="1" applyFill="1" applyBorder="1"/>
    <x:xf numFmtId="200" fontId="2" fillId="5" borderId="1" xfId="0" applyNumberFormat="1" applyFont="1" applyFill="1" applyBorder="1"/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horizontal="center" wrapText="1"/>
    </x:xf>
    <x:xf numFmtId="0" fontId="4" fillId="9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200" fontId="2" fillId="10" borderId="0" xfId="0" applyNumberFormat="1" applyFont="1" applyFill="1" applyBorder="1"/>
    <x:xf numFmtId="0" fontId="8" fillId="10" borderId="0" xfId="0" applyNumberFormat="1" applyFont="1" applyFill="1" applyBorder="1"/>
    <x:xf numFmtId="200" fontId="8" fillId="10" borderId="0" xfId="0" applyNumberFormat="1" applyFont="1" applyFill="1" applyBorder="1"/>
  </x:cellXfs>
  <x:cellStyles count="1">
    <x:cellStyle name="Normal" xfId="0"/>
  </x:cellStyles>
  <x:dxfs count="2">
    <x:dxf>
      <x:font>
        <x:color rgb="FF991B1B"/>
      </x:font>
      <x:fill>
        <x:patternFill>
          <x:bgColor rgb="FFFDE8E8"/>
        </x:patternFill>
      </x:fill>
    </x:dxf>
    <x:dxf>
      <x:font>
        <x:color rgb="FF166534"/>
      </x:font>
      <x:fill>
        <x:patternFill>
          <x:bgColor rgb="FFE6F5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7c8adede5849cb" /><Relationship Type="http://schemas.openxmlformats.org/officeDocument/2006/relationships/theme" Target="/xl/theme/theme1.xml" Id="R6870cca375884286" /><Relationship Type="http://schemas.openxmlformats.org/officeDocument/2006/relationships/sharedStrings" Target="/xl/sharedStrings.xml" Id="R6bf2c8e95c5f49ac" /><Relationship Type="http://schemas.openxmlformats.org/officeDocument/2006/relationships/worksheet" Target="/xl/worksheets/sheet1.xml" Id="R134eeb0646c24548" /><Relationship Type="http://schemas.openxmlformats.org/officeDocument/2006/relationships/worksheet" Target="/xl/worksheets/sheet2.xml" Id="R682373262682493f" /><Relationship Type="http://schemas.openxmlformats.org/officeDocument/2006/relationships/worksheet" Target="/xl/worksheets/sheet3.xml" Id="R31f22332a43c4f2f" /><Relationship Type="http://schemas.openxmlformats.org/officeDocument/2006/relationships/worksheet" Target="/xl/worksheets/sheet4.xml" Id="R5e22201031b24855" /><Relationship Type="http://schemas.openxmlformats.org/officeDocument/2006/relationships/worksheet" Target="/xl/worksheets/sheet5.xml" Id="Ra2fe9416c05c41a7" /><Relationship Type="http://schemas.openxmlformats.org/officeDocument/2006/relationships/worksheet" Target="/xl/worksheets/sheet6.xml" Id="R14405039f4454a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" hidden="0" customWidth="1"/>
    <x:col min="2" max="2" width="26" hidden="0" customWidth="1"/>
    <x:col min="3" max="3" width="31" hidden="0" customWidth="1"/>
    <x:col min="4" max="4" width="24" hidden="0" customWidth="1"/>
    <x:col min="5" max="5" width="25" hidden="0" customWidth="1"/>
    <x:col min="6" max="6" width="28" hidden="0" customWidth="1"/>
    <x:col min="7" max="7" width="46" hidden="0" customWidth="1"/>
  </x:cols>
  <x:sheetData>
    <x:row r="2" ht="34" customHeight="1">
      <x:c r="B2" s="5" t="str">
        <x:v>SYSTEM TEST CASE  |  SMARTPARKING</x:v>
      </x:c>
      <x:c r="C2" s="5"/>
      <x:c r="D2" s="5"/>
      <x:c r="E2" s="5"/>
      <x:c r="F2" s="5"/>
      <x:c r="G2" s="5"/>
    </x:row>
    <x:row r="4">
      <x:c r="B4" s="11" t="str">
        <x:v>Project Name</x:v>
      </x:c>
      <x:c r="C4" t="str">
        <x:v>SmartParking</x:v>
      </x:c>
      <x:c r="F4" s="11" t="str">
        <x:v>Creator</x:v>
      </x:c>
      <x:c r="G4" t="str">
        <x:v>QA Team</x:v>
      </x:c>
    </x:row>
    <x:row r="5">
      <x:c r="B5" s="11" t="str">
        <x:v>Project Code</x:v>
      </x:c>
      <x:c r="C5" t="str">
        <x:v>SPARK</x:v>
      </x:c>
      <x:c r="F5" s="11" t="str">
        <x:v>Reviewer / Approver</x:v>
      </x:c>
      <x:c r="G5" t="str">
        <x:v>Pending Leader review</x:v>
      </x:c>
    </x:row>
    <x:row r="6">
      <x:c r="B6" s="11" t="str">
        <x:v>Document Code</x:v>
      </x:c>
      <x:c r="C6" t="str">
        <x:v>SPARK_Facility_Master_TestCases_v1.0</x:v>
      </x:c>
      <x:c r="F6" s="11" t="str">
        <x:v>Issue Date</x:v>
      </x:c>
      <x:c r="G6" t="str">
        <x:v>2026-10-28</x:v>
      </x:c>
    </x:row>
    <x:row r="7">
      <x:c r="B7" s="11" t="str">
        <x:v>Service / ownership</x:v>
      </x:c>
      <x:c r="C7" t="str">
        <x:v>Facility</x:v>
      </x:c>
      <x:c r="F7" s="11" t="str">
        <x:v>Version</x:v>
      </x:c>
      <x:c r="G7" t="str">
        <x:v>1.1 REVIEW</x:v>
      </x:c>
    </x:row>
    <x:row r="10">
      <x:c r="B10" s="14" t="str">
        <x:v>Record of change</x:v>
      </x:c>
    </x:row>
    <x:row r="11" ht="35" customHeight="1">
      <x:c r="B11" s="20" t="str">
        <x:v>Effective Date</x:v>
      </x:c>
      <x:c r="C11" s="20" t="str">
        <x:v>Version</x:v>
      </x:c>
      <x:c r="D11" s="20" t="str">
        <x:v>Change Item</x:v>
      </x:c>
      <x:c r="E11" s="20" t="str">
        <x:v>A,D,M</x:v>
      </x:c>
      <x:c r="F11" s="20" t="str">
        <x:v>Change description</x:v>
      </x:c>
      <x:c r="G11" s="20" t="str">
        <x:v>Reference</x:v>
      </x:c>
    </x:row>
    <x:row r="12" ht="52" customHeight="1">
      <x:c r="B12" s="26" t="str">
        <x:v>2026-10-28</x:v>
      </x:c>
      <x:c r="C12" s="26" t="str">
        <x:v>1.0</x:v>
      </x:c>
      <x:c r="D12" s="26" t="str">
        <x:v>Create shared master</x:v>
      </x:c>
      <x:c r="E12" s="26" t="str">
        <x:v>A</x:v>
      </x:c>
      <x:c r="F12" s="26" t="str">
        <x:v>One persistent workbook per service; append QA tests over time.</x:v>
      </x:c>
      <x:c r="G12" s="26" t="str">
        <x:v>Mentor TestTeam_UAT.xlsx</x:v>
      </x:c>
    </x:row>
    <x:row r="13">
      <x:c r="B13" t="str">
        <x:v>2026-10-28</x:v>
      </x:c>
      <x:c r="C13" t="str">
        <x:v>1.1</x:v>
      </x:c>
      <x:c r="D13" t="str">
        <x:v>Migrate PR9 Facility UI</x:v>
      </x:c>
      <x:c r="E13" t="str">
        <x:v>A</x:v>
      </x:c>
      <x:c r="F13" t="str">
        <x:v>2 UI PASS, API origin to confirm</x:v>
      </x:c>
      <x:c r="G13" t="str">
        <x:v>PR9_QA_Traceability_Final.xlsx</x:v>
      </x:c>
    </x:row>
    <x:row r="14">
      <x:c r="B14" t="str">
        <x:v>Quy tắc: ghi theo service gốc gọi đầu tiên; không nhân đôi test liên service.</x:v>
      </x:c>
    </x:row>
    <x:row r="15">
      <x:c r="B15" t="str">
        <x:v>Không thay thế dữ liệu cũ khi cập nhật task mới; bảo toàn lịch sử test và baseline.</x:v>
      </x:c>
    </x:row>
    <x:row r="16">
      <x:c r="B16" t="str">
        <x:v>Chưa được Leader phê duyệt. Đối chiếu docs repo trước khi commit.</x:v>
      </x:c>
    </x:row>
  </x:sheetData>
  <x:mergeCells>
    <x:mergeCell ref="B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0" topLeftCell="A11" activePane="bottomLeft" state="frozen"/>
    </x:sheetView>
  </x:sheetViews>
  <x:sheetFormatPr defaultRowHeight="15"/>
  <x:cols>
    <x:col min="1" max="1" width="4" hidden="0" customWidth="1"/>
    <x:col min="2" max="2" width="25" hidden="0" customWidth="1"/>
    <x:col min="3" max="3" width="48" hidden="0" customWidth="1"/>
    <x:col min="4" max="4" width="13" hidden="0" customWidth="1"/>
    <x:col min="5" max="5" width="13" hidden="0" customWidth="1"/>
    <x:col min="6" max="6" width="16" hidden="0" customWidth="1"/>
    <x:col min="7" max="7" width="14" hidden="0" customWidth="1"/>
    <x:col min="8" max="8" width="22" hidden="0" customWidth="1"/>
    <x:col min="9" max="9" width="23" hidden="0" customWidth="1"/>
    <x:col min="10" max="10" width="17" hidden="0" customWidth="1"/>
  </x:cols>
  <x:sheetData>
    <x:row r="1" ht="34" customHeight="1">
      <x:c r="B1" s="5" t="str">
        <x:v>TEST REPORT  |  FACILITY</x:v>
      </x:c>
      <x:c r="C1" s="5"/>
      <x:c r="D1" s="5"/>
      <x:c r="E1" s="5"/>
      <x:c r="F1" s="5"/>
      <x:c r="G1" s="5"/>
      <x:c r="H1" s="5"/>
      <x:c r="I1" s="5"/>
      <x:c r="J1" s="5"/>
    </x:row>
    <x:row r="3">
      <x:c r="B3" s="11" t="str">
        <x:v>Project Name</x:v>
      </x:c>
      <x:c r="C3" t="str">
        <x:v>SmartParking</x:v>
      </x:c>
      <x:c r="F3" s="11" t="str">
        <x:v>Creator</x:v>
      </x:c>
      <x:c r="G3" t="str">
        <x:v>QA Team</x:v>
      </x:c>
    </x:row>
    <x:row r="4">
      <x:c r="B4" s="11" t="str">
        <x:v>Project Code</x:v>
      </x:c>
      <x:c r="C4" t="str">
        <x:v>SPARK</x:v>
      </x:c>
      <x:c r="F4" s="11" t="str">
        <x:v>Reviewer</x:v>
      </x:c>
      <x:c r="G4" t="str">
        <x:v>Pending</x:v>
      </x:c>
    </x:row>
    <x:row r="5">
      <x:c r="B5" s="11" t="str">
        <x:v>Document Code</x:v>
      </x:c>
      <x:c r="C5" t="str">
        <x:v>SPARK_Facility_Master_TestCases_v1.0</x:v>
      </x:c>
      <x:c r="F5" s="11" t="str">
        <x:v>Last updated</x:v>
      </x:c>
      <x:c r="G5" t="str">
        <x:v>2026-10-28</x:v>
      </x:c>
    </x:row>
    <x:row r="6">
      <x:c r="B6" s="11" t="str">
        <x:v>Notes</x:v>
      </x:c>
      <x:c r="C6" t="str">
        <x:v>Master test cases; Unit/DI assertions are reported in Word only.</x:v>
      </x:c>
    </x:row>
    <x:row r="10" ht="35" customHeight="1">
      <x:c r="B10" s="20" t="str">
        <x:v>No</x:v>
      </x:c>
      <x:c r="C10" s="20" t="str">
        <x:v>Module code</x:v>
      </x:c>
      <x:c r="D10" s="20" t="str">
        <x:v>Pass</x:v>
      </x:c>
      <x:c r="E10" s="20" t="str">
        <x:v>Fail</x:v>
      </x:c>
      <x:c r="F10" s="20" t="str">
        <x:v>Untested</x:v>
      </x:c>
      <x:c r="G10" s="20" t="str">
        <x:v>N/A</x:v>
      </x:c>
      <x:c r="H10" s="20" t="str">
        <x:v>Number of test cases</x:v>
      </x:c>
      <x:c r="I10" s="20" t="str">
        <x:v>% Passed of tests</x:v>
      </x:c>
      <x:c r="J10" s="20" t="str">
        <x:v>Blocked</x:v>
      </x:c>
    </x:row>
    <x:row r="11">
      <x:c r="B11" t="n">
        <x:v>1</x:v>
      </x:c>
      <x:c r="C11" t="str">
        <x:v>PR9_Facility_UI</x:v>
      </x:c>
      <x:c r="D11" t="n">
        <x:v>2</x:v>
      </x:c>
      <x:c r="E11" t="n">
        <x:v>0</x:v>
      </x:c>
      <x:c r="F11" t="n">
        <x:v>0</x:v>
      </x:c>
      <x:c r="G11" t="n">
        <x:v>0</x:v>
      </x:c>
      <x:c r="H11" t="n">
        <x:v>2</x:v>
      </x:c>
      <x:c r="I11" s="32" t="n">
        <x:f>IFERROR(D11/H11,0)</x:f>
        <x:v>1</x:v>
      </x:c>
      <x:c r="J11" t="n">
        <x:v>0</x:v>
      </x:c>
    </x:row>
    <x:row r="12">
      <x:c r="B12" s="56"/>
      <x:c r="C12" s="56" t="str">
        <x:v>Sub total</x:v>
      </x:c>
      <x:c r="D12" s="56" t="n">
        <x:f>SUM(D11:D11)</x:f>
        <x:v>2</x:v>
      </x:c>
      <x:c r="E12" s="56" t="n">
        <x:f>SUM(E11:E11)</x:f>
        <x:v>0</x:v>
      </x:c>
      <x:c r="F12" s="56" t="n">
        <x:f>SUM(F11:F11)</x:f>
        <x:v>0</x:v>
      </x:c>
      <x:c r="G12" s="56" t="n">
        <x:f>SUM(G11:G11)</x:f>
        <x:v>0</x:v>
      </x:c>
      <x:c r="H12" s="56" t="n">
        <x:f>SUM(H11:H11)</x:f>
        <x:v>2</x:v>
      </x:c>
      <x:c r="I12" s="57" t="n">
        <x:f>IFERROR(D12/H12,0)</x:f>
        <x:v>1</x:v>
      </x:c>
      <x:c r="J12" s="56" t="n">
        <x:f>SUM(J11:J11)</x:f>
        <x:v>0</x:v>
      </x:c>
    </x:row>
    <x:row r="22">
      <x:c r="B22" t="str">
        <x:v>QA execution coverage</x:v>
      </x:c>
      <x:c r="C22" s="32" t="n">
        <x:f>IFERROR((D12+E12)/H12,0)</x:f>
        <x:v>1</x:v>
      </x:c>
    </x:row>
    <x:row r="23">
      <x:c r="B23" t="str">
        <x:v>Status / sign-off</x:v>
      </x:c>
      <x:c r="C23" t="str">
        <x:v>2 PR9 UI checks reported PASS on 05e2976d; ownership provisional. No Facility backend API pass claimed.</x:v>
      </x:c>
    </x:row>
    <x:row r="25">
      <x:c r="B25" t="str">
        <x:v>Notes</x:v>
      </x:c>
      <x:c r="C25" t="str">
        <x:v>Blocked is shown separately; Unit Tests do NOT inflate QA case counts.</x:v>
      </x:c>
    </x:row>
    <x:row r="26">
      <x:c r="B26" t="str">
        <x:v>Source</x:v>
      </x:c>
      <x:c r="C26" t="str">
        <x:v>PR9_QA_Traceability_Final.xlsx; PR9_QA_Final_Report.docx; source screenshots in Word appendix.</x:v>
      </x:c>
    </x:row>
    <x:row r="28" ht="35" customHeight="1">
      <x:c r="B28" t="str">
        <x:v>UNIT TEST (reference only)</x:v>
      </x:c>
      <x:c r="C28" s="20" t="str">
        <x:v>Passed</x:v>
      </x:c>
      <x:c r="D28" s="20" t="str">
        <x:v>Failed</x:v>
      </x:c>
      <x:c r="E28" s="20" t="str">
        <x:v>Skipped</x:v>
      </x:c>
      <x:c r="F28" s="20" t="str">
        <x:v>Execution</x:v>
      </x:c>
    </x:row>
    <x:row r="29">
      <x:c r="B29" t="str">
        <x:v>Not imported</x:v>
      </x:c>
      <x:c r="C29"/>
      <x:c r="D29"/>
      <x:c r="E29"/>
      <x:c r="F29" t="str">
        <x:v>No verified output</x:v>
      </x:c>
    </x:row>
    <x:row r="31">
      <x:c r="B31" t="str">
        <x:v>Do not add Unit Tests above to QA Pass column.</x:v>
      </x:c>
    </x:row>
  </x:sheetData>
  <x:mergeCells>
    <x:mergeCell ref="B1:J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8" topLeftCell="A9" activePane="bottomLeft" state="frozen"/>
    </x:sheetView>
  </x:sheetViews>
  <x:sheetFormatPr defaultRowHeight="15"/>
  <x:cols>
    <x:col min="1" max="1" width="4" hidden="0" customWidth="1"/>
    <x:col min="2" max="2" width="13" hidden="0" customWidth="1"/>
    <x:col min="3" max="3" width="34" hidden="0" customWidth="1"/>
    <x:col min="4" max="4" width="34" hidden="0" customWidth="1"/>
    <x:col min="5" max="5" width="55" hidden="0" customWidth="1"/>
    <x:col min="6" max="6" width="46" hidden="0" customWidth="1"/>
  </x:cols>
  <x:sheetData>
    <x:row r="1" ht="34" customHeight="1">
      <x:c r="B1" s="5" t="str">
        <x:v>TEST CASE LIST  |  FACILITY</x:v>
      </x:c>
      <x:c r="C1" s="5"/>
      <x:c r="D1" s="5"/>
      <x:c r="E1" s="5"/>
      <x:c r="F1" s="5"/>
    </x:row>
    <x:row r="3">
      <x:c r="B3" s="11" t="str">
        <x:v>Project Name</x:v>
      </x:c>
      <x:c r="C3"/>
      <x:c r="D3" t="str">
        <x:v>SmartParking</x:v>
      </x:c>
    </x:row>
    <x:row r="4">
      <x:c r="B4" s="11" t="str">
        <x:v>Project Code</x:v>
      </x:c>
      <x:c r="C4"/>
      <x:c r="D4" t="str">
        <x:v>SPARK</x:v>
      </x:c>
    </x:row>
    <x:row r="5">
      <x:c r="B5" s="11" t="str">
        <x:v>Test Environment Setup Description</x:v>
      </x:c>
      <x:c r="C5"/>
      <x:c r="D5" t="str">
        <x:v>Windows 11; .NET 10 / QA mock; PostgreSQL 16 (only where verified)</x:v>
      </x:c>
    </x:row>
    <x:row r="8" ht="35" customHeight="1">
      <x:c r="B8" s="20" t="str">
        <x:v>No</x:v>
      </x:c>
      <x:c r="C8" s="20" t="str">
        <x:v>Function Name</x:v>
      </x:c>
      <x:c r="D8" s="20" t="str">
        <x:v>Sheet Name</x:v>
      </x:c>
      <x:c r="E8" s="20" t="str">
        <x:v>Description</x:v>
      </x:c>
      <x:c r="F8" s="20" t="str">
        <x:v>Pre-Condition</x:v>
      </x:c>
    </x:row>
    <x:row r="9" ht="28" customHeight="1">
      <x:c r="B9" s="26" t="n">
        <x:v>1</x:v>
      </x:c>
      <x:c r="C9" s="26" t="str">
        <x:v>PR9_Facility_UI</x:v>
      </x:c>
      <x:c r="D9" s="26" t="str">
        <x:v>PR9_Facility_UI</x:v>
      </x:c>
      <x:c r="E9" s="26" t="str">
        <x:v>Owner site list and site-filter dashboard UI</x:v>
      </x:c>
      <x:c r="F9" s="26" t="str">
        <x:v>Authenticated Owner with assigned QA site</x:v>
      </x:c>
    </x:row>
  </x:sheetData>
  <x:mergeCells>
    <x:mergeCell ref="B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4" hidden="0" customWidth="1"/>
    <x:col min="2" max="2" width="25" hidden="0" customWidth="1"/>
    <x:col min="3" max="3" width="39" hidden="0" customWidth="1"/>
    <x:col min="4" max="4" width="70" hidden="0" customWidth="1"/>
    <x:col min="5" max="5" width="69" hidden="0" customWidth="1"/>
    <x:col min="6" max="6" width="28" hidden="0" customWidth="1"/>
  </x:cols>
  <x:sheetData>
    <x:row r="1" ht="34" customHeight="1">
      <x:c r="B1" s="5" t="str">
        <x:v>HISTORICAL TEST INTAKE  |  FACILITY</x:v>
      </x:c>
      <x:c r="C1" s="5"/>
      <x:c r="D1" s="5"/>
      <x:c r="E1" s="5"/>
      <x:c r="F1" s="5"/>
    </x:row>
    <x:row r="3">
      <x:c r="B3" t="str">
        <x:v>Historical summaries below are NOT added to current QA Pass/Fail totals until original case evidence is reconciled.</x:v>
      </x:c>
    </x:row>
    <x:row r="5" ht="35" customHeight="1">
      <x:c r="B5" s="20" t="str">
        <x:v>Source task / PR</x:v>
      </x:c>
      <x:c r="C5" s="20" t="str">
        <x:v>Scope</x:v>
      </x:c>
      <x:c r="D5" s="20" t="str">
        <x:v>Prior outcome summary</x:v>
      </x:c>
      <x:c r="E5" s="20" t="str">
        <x:v>Required evidence / actions</x:v>
      </x:c>
      <x:c r="F5" s="20" t="str">
        <x:v>Migration status</x:v>
      </x:c>
    </x:row>
    <x:row r="6">
      <x:c r="B6" t="str">
        <x:v>PR9 / Facility UI</x:v>
      </x:c>
      <x:c r="C6" t="str">
        <x:v>Owner Site list + Dashboard site filter (2 checks)</x:v>
      </x:c>
      <x:c r="D6" t="str">
        <x:v>2 PASS limited to UI display at SHA 05e2976d; no network trace available in historical ZIP.</x:v>
      </x:c>
      <x:c r="E6" t="str">
        <x:v>Ownership provisional: confirm originating frontend API call, avoid duplicate entries in User master.</x:v>
      </x:c>
      <x:c r="F6" t="str">
        <x:v>2 FACILITY UI CASES / OWNERSHIP REVIEW</x:v>
      </x:c>
    </x:row>
  </x:sheetData>
  <x:mergeCells>
    <x:mergeCell ref="B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9" topLeftCell="A10" activePane="bottomLeft" state="frozen"/>
    </x:sheetView>
  </x:sheetViews>
  <x:sheetFormatPr defaultRowHeight="15"/>
  <x:cols>
    <x:col min="2" max="2" width="22" hidden="0" customWidth="1"/>
    <x:col min="3" max="3" width="28" hidden="0" customWidth="1"/>
    <x:col min="4" max="4" width="40" hidden="0" customWidth="1"/>
    <x:col min="5" max="5" width="35" hidden="0" customWidth="1"/>
    <x:col min="6" max="6" width="27" hidden="0" customWidth="1"/>
    <x:col min="7" max="7" width="15" hidden="0" customWidth="1"/>
    <x:col min="8" max="8" width="15" hidden="0" customWidth="1"/>
    <x:col min="9" max="9" width="13" hidden="0" customWidth="1"/>
    <x:col min="10" max="10" width="14" hidden="0" customWidth="1"/>
    <x:col min="11" max="11" width="12" hidden="0" customWidth="1"/>
    <x:col min="12" max="12" width="14" hidden="0" customWidth="1"/>
    <x:col min="13" max="13" width="48" hidden="0" customWidth="1"/>
    <x:col min="14" max="14" width="25" hidden="0" customWidth="1"/>
    <x:col min="15" max="15" width="25" hidden="0" customWidth="1"/>
    <x:col min="16" max="16" width="48" hidden="0" customWidth="1"/>
    <x:col min="17" max="17" width="38" hidden="0" customWidth="1"/>
  </x:cols>
  <x:sheetData>
    <x:row r="1" ht="35" customHeight="1">
      <x:c r="B1" s="39" t="str">
        <x:v>SMART PARKING  |  PR9_Facility_UI</x:v>
      </x:c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</x:row>
    <x:row r="2">
      <x:c r="B2" s="41" t="str">
        <x:v>Module Code</x:v>
      </x:c>
      <x:c r="C2" t="str">
        <x:v>PR9_Facility_UI</x:v>
      </x:c>
    </x:row>
    <x:row r="3">
      <x:c r="B3" s="41" t="str">
        <x:v>Test requirement</x:v>
      </x:c>
      <x:c r="C3" t="str">
        <x:v>PR #9 · QA candidate SPARK-182 (provisional; confirm service root/API call chain)</x:v>
      </x:c>
    </x:row>
    <x:row r="4">
      <x:c r="B4" s="41" t="str">
        <x:v>Reference Document</x:v>
      </x:c>
      <x:c r="C4" s="44" t="str">
        <x:v>Two Site/Dashboard UI-only checks from PR9; provisionally classified to Facility as likely initiator. No backend API proof.</x:v>
      </x:c>
      <x:c r="D4" s="44"/>
      <x:c r="E4" s="44"/>
      <x:c r="F4" s="44"/>
      <x:c r="G4" s="44"/>
      <x:c r="H4" s="44"/>
      <x:c r="I4" s="44"/>
      <x:c r="J4" s="44"/>
      <x:c r="K4" s="44"/>
      <x:c r="L4" s="44"/>
      <x:c r="M4" s="44"/>
      <x:c r="N4" s="44"/>
      <x:c r="O4" s="44"/>
      <x:c r="P4" s="44"/>
      <x:c r="Q4" s="44"/>
    </x:row>
    <x:row r="5">
      <x:c r="B5" s="49" t="str">
        <x:v>% Passed of tests</x:v>
      </x:c>
      <x:c r="C5" s="49" t="str">
        <x:v>Pass</x:v>
      </x:c>
      <x:c r="D5" s="49" t="str">
        <x:v>Fail</x:v>
      </x:c>
      <x:c r="E5" s="49" t="str">
        <x:v>Untested</x:v>
      </x:c>
      <x:c r="F5" s="49" t="str">
        <x:v>N/A</x:v>
      </x:c>
      <x:c r="G5" s="49" t="str">
        <x:v>Number of test cases</x:v>
      </x:c>
      <x:c r="H5" s="49" t="str">
        <x:v>Blocked</x:v>
      </x:c>
    </x:row>
    <x:row r="6" ht="24" customHeight="1">
      <x:c r="B6" s="32" t="n">
        <x:f>IFERROR(C6/G6,0)</x:f>
        <x:v>1</x:v>
      </x:c>
      <x:c r="C6" t="n">
        <x:v>2</x:v>
      </x:c>
      <x:c r="D6" t="n">
        <x:v>0</x:v>
      </x:c>
      <x:c r="E6" t="n">
        <x:v>0</x:v>
      </x:c>
      <x:c r="F6" t="n">
        <x:v>0</x:v>
      </x:c>
      <x:c r="G6" t="n">
        <x:v>2</x:v>
      </x:c>
      <x:c r="H6" t="n">
        <x:v>0</x:v>
      </x:c>
    </x:row>
    <x:row r="8" ht="28" customHeight="1">
      <x:c r="B8" s="44" t="str">
        <x:v>Nguồn: tài liệu gốc trong Historical ZIP. Tổng hợp theo nhiều commit; không suy diễn kết quả ở HEAD mới.</x:v>
      </x:c>
      <x:c r="C8" s="44"/>
      <x:c r="D8" s="44"/>
      <x:c r="E8" s="44"/>
      <x:c r="F8" s="44"/>
      <x:c r="G8" s="44"/>
      <x:c r="H8" s="44"/>
      <x:c r="I8" s="44"/>
      <x:c r="J8" s="44"/>
      <x:c r="K8" s="44"/>
      <x:c r="L8" s="44"/>
      <x:c r="M8" s="44"/>
      <x:c r="N8" s="44"/>
      <x:c r="O8" s="44"/>
      <x:c r="P8" s="44"/>
      <x:c r="Q8" s="44"/>
    </x:row>
    <x:row r="9" ht="35" customHeight="1">
      <x:c r="B9" s="49" t="str">
        <x:v>ID</x:v>
      </x:c>
      <x:c r="C9" s="49" t="str">
        <x:v>Test Case Description</x:v>
      </x:c>
      <x:c r="D9" s="49" t="str">
        <x:v>Test Case Procedure</x:v>
      </x:c>
      <x:c r="E9" s="49" t="str">
        <x:v>Expected Results</x:v>
      </x:c>
      <x:c r="F9" s="49" t="str">
        <x:v>Inter-test case Dependence</x:v>
      </x:c>
      <x:c r="G9" s="49" t="str">
        <x:v>Result</x:v>
      </x:c>
      <x:c r="H9" s="49" t="str">
        <x:v>Test date</x:v>
      </x:c>
      <x:c r="I9" s="49" t="str">
        <x:v>Tester</x:v>
      </x:c>
      <x:c r="J9" s="49" t="str">
        <x:v>Number of tests</x:v>
      </x:c>
      <x:c r="K9" s="49" t="str">
        <x:v>Passed</x:v>
      </x:c>
      <x:c r="L9" s="49" t="str">
        <x:v>% Passed</x:v>
      </x:c>
      <x:c r="M9" s="49" t="str">
        <x:v>Note / Actual</x:v>
      </x:c>
      <x:c r="N9" s="49" t="str">
        <x:v>Testing Jira</x:v>
      </x:c>
      <x:c r="O9" s="49" t="str">
        <x:v>Baseline commit</x:v>
      </x:c>
      <x:c r="P9" s="49" t="str">
        <x:v>Evidence / source</x:v>
      </x:c>
      <x:c r="Q9" s="49" t="str">
        <x:v>Scenario type</x:v>
      </x:c>
    </x:row>
    <x:row r="10" ht="57" customHeight="1">
      <x:c r="B10" s="52" t="str">
        <x:v>[PR9-R22-07]</x:v>
      </x:c>
      <x:c r="C10" s="26" t="str">
        <x:v>Owner Site list</x:v>
      </x:c>
      <x:c r="D10" s="26" t="str">
        <x:v>Site &amp; Staff Management</x:v>
      </x:c>
      <x:c r="E10" s="26" t="str">
        <x:v>Facility displayed + ACTIVE</x:v>
      </x:c>
      <x:c r="F10" s="26" t="str">
        <x:v>Owner logged in</x:v>
      </x:c>
      <x:c r="G10" s="26" t="str">
        <x:v>Pass</x:v>
      </x:c>
      <x:c r="H10" s="26" t="str">
        <x:v>2026-10-22</x:v>
      </x:c>
      <x:c r="I10" s="26" t="str">
        <x:v>QA Tester</x:v>
      </x:c>
      <x:c r="J10" s="26" t="n">
        <x:v>1</x:v>
      </x:c>
      <x:c r="K10" s="26" t="n">
        <x:f>IF(G10="Pass",1,0)</x:f>
        <x:v>1</x:v>
      </x:c>
      <x:c r="L10" s="51" t="n">
        <x:f>IFERROR(K10/J10,0)</x:f>
        <x:v>1</x:v>
      </x:c>
      <x:c r="M10" s="26" t="str">
        <x:v>PR9 QA SMTP Test Lot; ACTIVE; 0 physical slots
PASS is limited to displayed Site/Facility UI. Facility service ownership provisional until API call-chain is checked. Physical layout chưa tạo</x:v>
      </x:c>
      <x:c r="N10" s="26" t="str">
        <x:v>SPARK-182 candidate (provisional; verify service root and scope)</x:v>
      </x:c>
      <x:c r="O10" s="26" t="str">
        <x:v>05e2976d (short SHA, source-reported)</x:v>
      </x:c>
      <x:c r="P10" s="26" t="str">
        <x:v>EV-OWNER-OLD · PR9_QA_Traceability_Final.xlsx TEST_CASES; Word screenshot index</x:v>
      </x:c>
      <x:c r="Q10" s="26" t="str">
        <x:v>Facility UI (provisional service ownership; verify actual API request chain)</x:v>
      </x:c>
    </x:row>
    <x:row r="11" ht="57" customHeight="1">
      <x:c r="B11" s="52" t="str">
        <x:v>[PR9-R22-08]</x:v>
      </x:c>
      <x:c r="C11" s="26" t="str">
        <x:v>Owner Dashboard</x:v>
      </x:c>
      <x:c r="D11" s="26" t="str">
        <x:v>Select PR9 QA SMTP Test Lot at Site filter</x:v>
      </x:c>
      <x:c r="E11" s="26" t="str">
        <x:v>Dashboard filters correct facility</x:v>
      </x:c>
      <x:c r="F11" s="26" t="str">
        <x:v>Owner logged in; site present</x:v>
      </x:c>
      <x:c r="G11" s="26" t="str">
        <x:v>Pass</x:v>
      </x:c>
      <x:c r="H11" s="26" t="str">
        <x:v>2026-10-22</x:v>
      </x:c>
      <x:c r="I11" s="26" t="str">
        <x:v>QA Tester</x:v>
      </x:c>
      <x:c r="J11" s="26" t="n">
        <x:v>1</x:v>
      </x:c>
      <x:c r="K11" s="26" t="n">
        <x:f>IF(G11="Pass",1,0)</x:f>
        <x:v>1</x:v>
      </x:c>
      <x:c r="L11" s="51" t="n">
        <x:f>IFERROR(K11/J11,0)</x:f>
        <x:v>1</x:v>
      </x:c>
      <x:c r="M11" s="26" t="str">
        <x:v>Filtered site view; Capacity 0
PASS is limited to displayed Site/Facility UI. Facility service ownership provisional until API call-chain is checked. Capacity driven by saved physical layout</x:v>
      </x:c>
      <x:c r="N11" s="26" t="str">
        <x:v>SPARK-182 candidate (provisional; verify service root and scope)</x:v>
      </x:c>
      <x:c r="O11" s="26" t="str">
        <x:v>05e2976d (short SHA, source-reported)</x:v>
      </x:c>
      <x:c r="P11" s="26" t="str">
        <x:v>EV-OWNER-OLD · PR9_QA_Traceability_Final.xlsx TEST_CASES; Word screenshot index</x:v>
      </x:c>
      <x:c r="Q11" s="26" t="str">
        <x:v>Facility UI (provisional service ownership; verify actual API request chain)</x:v>
      </x:c>
    </x:row>
  </x:sheetData>
  <x:mergeCells>
    <x:mergeCell ref="B1:Q1"/>
    <x:mergeCell ref="C4:Q4"/>
    <x:mergeCell ref="B8:Q8"/>
  </x:mergeCells>
  <x:conditionalFormatting sqref="G10:G11">
    <x:cfRule type="expression" dxfId="0" priority="1">
      <x:formula>G10="Fail"</x:formula>
    </x:cfRule>
    <x:cfRule type="expression" dxfId="1" priority="2">
      <x:formula>G10="Pass"</x:formula>
    </x:cfRule>
  </x:conditionalFormatting>
  <x:dataValidations count="1">
    <x:dataValidation type="list" sqref="G10:G11">
      <x:formula1>"Pass,Fail,Untested,Blocked,N/A"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2" max="2" width="25" hidden="0" customWidth="1"/>
    <x:col min="3" max="3" width="31" hidden="0" customWidth="1"/>
    <x:col min="4" max="4" width="34" hidden="0" customWidth="1"/>
    <x:col min="5" max="5" width="48" hidden="0" customWidth="1"/>
    <x:col min="6" max="6" width="38" hidden="0" customWidth="1"/>
  </x:cols>
  <x:sheetData>
    <x:row r="1" ht="32" customHeight="1">
      <x:c r="B1" s="39" t="str">
        <x:v>OWNERSHIP AUDIT</x:v>
      </x:c>
      <x:c r="C1" s="39"/>
      <x:c r="D1" s="39"/>
      <x:c r="E1" s="39"/>
      <x:c r="F1" s="39"/>
    </x:row>
    <x:row r="3">
      <x:c r="B3" s="49" t="str">
        <x:v>Case ID</x:v>
      </x:c>
      <x:c r="C3" s="49" t="str">
        <x:v>Provisional root</x:v>
      </x:c>
      <x:c r="D3" s="49" t="str">
        <x:v>Observed UI scope</x:v>
      </x:c>
      <x:c r="E3" s="49" t="str">
        <x:v>Why provisional</x:v>
      </x:c>
      <x:c r="F3" s="49" t="str">
        <x:v>Required check</x:v>
      </x:c>
    </x:row>
    <x:row r="4" ht="53" customHeight="1">
      <x:c r="B4" s="26" t="str">
        <x:v>PR9-R22-07</x:v>
      </x:c>
      <x:c r="C4" s="26" t="str">
        <x:v>Facility (candidate)</x:v>
      </x:c>
      <x:c r="D4" s="26" t="str">
        <x:v>Owner Site &amp; Staff Management shows ACTIVE QA site</x:v>
      </x:c>
      <x:c r="E4" s="26" t="str">
        <x:v>No DevTools request trace in source ZIP</x:v>
      </x:c>
      <x:c r="F4" s="26" t="str">
        <x:v>SPARK-182 is candidate testing Jira, pending verification of original API initiator.</x:v>
      </x:c>
    </x:row>
    <x:row r="5" ht="53" customHeight="1">
      <x:c r="B5" s="26" t="str">
        <x:v>PR9-R22-08</x:v>
      </x:c>
      <x:c r="C5" s="26" t="str">
        <x:v>Facility (candidate)</x:v>
      </x:c>
      <x:c r="D5" s="26" t="str">
        <x:v>Owner Dashboard site filter displays QA site</x:v>
      </x:c>
      <x:c r="E5" s="26" t="str">
        <x:v>Could involve User/Facility read-model aggregation</x:v>
      </x:c>
      <x:c r="F5" s="26" t="str">
        <x:v>SPARK-182 candidate, do not claim Facility backend API tested.</x:v>
      </x:c>
    </x:row>
  </x:sheetData>
  <x:mergeCells>
    <x:mergeCell ref="B1:F1"/>
  </x:mergeCells>
  <x:pageMargins left="0.7" right="0.7" top="0.75" bottom="0.75" header="0.3" footer="0.3"/>
</x:worksheet>
</file>