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fee9f6801046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691ab5e3746647c5"/>
    <x:sheet xmlns:r="http://schemas.openxmlformats.org/officeDocument/2006/relationships" name="Test Report" sheetId="2" r:id="R71c94b6b354a4b5a"/>
    <x:sheet xmlns:r="http://schemas.openxmlformats.org/officeDocument/2006/relationships" name="Test Case List" sheetId="3" r:id="R4e5ac3f28db2401f"/>
    <x:sheet xmlns:r="http://schemas.openxmlformats.org/officeDocument/2006/relationships" name="Migration Queue" sheetId="4" r:id="R62809c317b7d4291"/>
    <x:sheet xmlns:r="http://schemas.openxmlformats.org/officeDocument/2006/relationships" name="PR9_Owner_E2E" sheetId="5" r:id="Rdd44017c8c3849bb"/>
    <x:sheet xmlns:r="http://schemas.openxmlformats.org/officeDocument/2006/relationships" name="PR9_Auth_UI" sheetId="6" r:id="Rb589c158085b4526"/>
    <x:sheet xmlns:r="http://schemas.openxmlformats.org/officeDocument/2006/relationships" name="SP177_Planned_QA" sheetId="7" r:id="Rc3df73c7ab10453d"/>
    <x:sheet xmlns:r="http://schemas.openxmlformats.org/officeDocument/2006/relationships" name="Historical_Run_Index" sheetId="8" r:id="Rc7ff4bac39c84483"/>
    <x:sheet xmlns:r="http://schemas.openxmlformats.org/officeDocument/2006/relationships" name="Open_Findings" sheetId="9" r:id="Rc089b02a0c454bb3"/>
    <x:sheet xmlns:r="http://schemas.openxmlformats.org/officeDocument/2006/relationships" name="SP197_Admin_Approval" sheetId="10" r:id="R3012a4c60de841f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.0%"/>
    <x:numFmt numFmtId="201" formatCode="0%"/>
  </x:numFmts>
  <x:fonts count="17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53D3B"/>
      <x:name val="Carlito"/>
    </x:font>
    <x:font>
      <x:b/>
      <x:sz val="10"/>
      <x:color rgb="FFFFFFFF"/>
      <x:name val="Carlito"/>
    </x:font>
    <x:font>
      <x:b/>
      <x:sz val="11"/>
      <x:color rgb="FFFFFFFF"/>
      <x:name val="Carlito"/>
    </x:font>
    <x:font>
      <x:b/>
      <x:sz val="11"/>
      <x:color rgb="FF17354A"/>
      <x:name val="Carlito"/>
    </x:font>
    <x:font>
      <x:sz val="11"/>
      <x:color rgb="FF2B4552"/>
      <x:name val="Carlito"/>
    </x:font>
    <x:font>
      <x:b/>
      <x:sz val="11"/>
      <x:color rgb="FF0C4D68"/>
      <x:name val="Carlito"/>
    </x:font>
    <x:font>
      <x:b/>
      <x:sz val="11"/>
      <x:color rgb="FF15384A"/>
      <x:name val="Carlito"/>
    </x:font>
    <x:font>
      <x:b/>
      <x:sz val="14"/>
      <x:color rgb="FFFFFFFF"/>
      <x:name val="Carlito"/>
    </x:font>
    <x:font>
      <x:b/>
      <x:sz val="11"/>
      <x:color rgb="FF284B63"/>
      <x:name val="Carlito"/>
    </x:font>
    <x:font>
      <x:b/>
      <x:sz val="11"/>
      <x:color rgb="FF18455A"/>
      <x:name val="Carlito"/>
    </x:font>
    <x:font>
      <x:sz val="10"/>
      <x:color rgb="FF566474"/>
      <x:name val="Carlito"/>
    </x:font>
    <x:font>
      <x:b/>
      <x:sz val="11"/>
      <x:color rgb="FF087F5B"/>
      <x:name val="Carlito"/>
    </x:font>
    <x:font>
      <x:b/>
      <x:sz val="11"/>
      <x:color rgb="FFA56C17"/>
      <x:name val="Carlito"/>
    </x:font>
    <x:font>
      <x:sz val="11"/>
      <x:color rgb="FF1F475E"/>
      <x:name val="Carlito"/>
    </x:font>
    <x:font>
      <x:sz val="10"/>
      <x:color rgb="FF22475E"/>
      <x:name val="Carlito"/>
    </x:font>
  </x:fonts>
  <x:fills count="19">
    <x:fill>
      <x:patternFill patternType="none"/>
    </x:fill>
    <x:fill>
      <x:patternFill patternType="gray125"/>
    </x:fill>
    <x:fill>
      <x:patternFill patternType="solid">
        <x:fgColor rgb="FF153D3B"/>
      </x:patternFill>
    </x:fill>
    <x:fill>
      <x:patternFill patternType="solid">
        <x:fgColor rgb="FFEDF0EF"/>
      </x:patternFill>
    </x:fill>
    <x:fill>
      <x:patternFill patternType="solid">
        <x:fgColor rgb="FF718E3E"/>
      </x:patternFill>
    </x:fill>
    <x:fill>
      <x:patternFill patternType="solid">
        <x:fgColor rgb="FFEAF3EA"/>
      </x:patternFill>
    </x:fill>
    <x:fill>
      <x:patternFill patternType="solid">
        <x:fgColor rgb="FF102A3B"/>
      </x:patternFill>
    </x:fill>
    <x:fill>
      <x:patternFill patternType="solid">
        <x:fgColor rgb="FFD7E8EF"/>
      </x:patternFill>
    </x:fill>
    <x:fill>
      <x:patternFill patternType="solid">
        <x:fgColor rgb="FFE7F2F5"/>
      </x:patternFill>
    </x:fill>
    <x:fill>
      <x:patternFill patternType="solid">
        <x:fgColor rgb="FF183C52"/>
      </x:patternFill>
    </x:fill>
    <x:fill>
      <x:patternFill patternType="solid">
        <x:fgColor rgb="FFDDECF2"/>
      </x:patternFill>
    </x:fill>
    <x:fill>
      <x:patternFill patternType="solid">
        <x:fgColor rgb="FF102B38"/>
      </x:patternFill>
    </x:fill>
    <x:fill>
      <x:patternFill patternType="solid">
        <x:fgColor rgb="FFEAF4F5"/>
      </x:patternFill>
    </x:fill>
    <x:fill>
      <x:patternFill patternType="solid">
        <x:fgColor rgb="FF186274"/>
      </x:patternFill>
    </x:fill>
    <x:fill>
      <x:patternFill patternType="solid">
        <x:fgColor rgb="FFEAFBF0"/>
      </x:patternFill>
    </x:fill>
    <x:fill>
      <x:patternFill patternType="solid">
        <x:fgColor rgb="FFFFF3DC"/>
      </x:patternFill>
    </x:fill>
    <x:fill>
      <x:patternFill patternType="solid">
        <x:fgColor rgb="FFE7F7F4"/>
      </x:patternFill>
    </x:fill>
    <x:fill>
      <x:patternFill patternType="solid">
        <x:fgColor rgb="FFE7EDF2"/>
      </x:patternFill>
    </x:fill>
    <x:fill>
      <x:patternFill patternType="solid">
        <x:fgColor rgb="FFFFF9E9"/>
      </x:patternFill>
    </x:fill>
  </x:fills>
  <x:borders count="2">
    <x:border/>
    <x:border/>
  </x:borders>
  <x:cellStyleXfs count="1">
    <x:xf numFmtId="0" fontId="0" fillId="0" borderId="0"/>
  </x:cellStyleXfs>
  <x:cellXfs count="84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horizontal="center" wrapText="1"/>
    </x:xf>
    <x:xf numFmtId="0" fontId="3" fillId="4" borderId="0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horizont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2" fillId="5" borderId="0" xfId="0" applyNumberFormat="1" applyFont="1" applyFill="1" applyBorder="1"/>
    <x:xf numFmtId="0" fontId="0" fillId="5" borderId="1" xfId="0" applyNumberFormat="1" applyFont="1" applyFill="1" applyBorder="1"/>
    <x:xf numFmtId="0" fontId="2" fillId="5" borderId="1" xfId="0" applyNumberFormat="1" applyFont="1" applyFill="1" applyBorder="1"/>
    <x:xf numFmtId="200" fontId="0" fillId="0" borderId="0" xfId="0" applyNumberFormat="1" applyFont="1" applyFill="1" applyBorder="1"/>
    <x:xf numFmtId="200" fontId="2" fillId="5" borderId="0" xfId="0" applyNumberFormat="1" applyFont="1" applyFill="1" applyBorder="1"/>
    <x:xf numFmtId="200" fontId="0" fillId="0" borderId="1" xfId="0" applyNumberFormat="1" applyFont="1" applyFill="1" applyBorder="1"/>
    <x:xf numFmtId="200" fontId="2" fillId="5" borderId="1" xfId="0" applyNumberFormat="1" applyFont="1" applyFill="1" applyBorder="1"/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0" fillId="8" borderId="0" xfId="0" applyNumberFormat="1" applyFont="1" applyFill="1" applyBorder="1"/>
    <x:xf numFmtId="0" fontId="6" fillId="8" borderId="0" xfId="0" applyNumberFormat="1" applyFont="1" applyFill="1" applyBorder="1"/>
    <x:xf numFmtId="0" fontId="6" fillId="8" borderId="0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4" fillId="9" borderId="0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/>
    <x:xf numFmtId="201" fontId="0" fillId="0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0" fillId="10" borderId="0" xfId="0" applyNumberFormat="1" applyFont="1" applyFill="1" applyBorder="1"/>
    <x:xf numFmtId="200" fontId="0" fillId="10" borderId="0" xfId="0" applyNumberFormat="1" applyFont="1" applyFill="1" applyBorder="1"/>
    <x:xf numFmtId="0" fontId="8" fillId="10" borderId="0" xfId="0" applyNumberFormat="1" applyFont="1" applyFill="1" applyBorder="1"/>
    <x:xf numFmtId="200" fontId="8" fillId="10" borderId="0" xfId="0" applyNumberFormat="1" applyFont="1" applyFill="1" applyBorder="1"/>
    <x:xf numFmtId="0" fontId="0" fillId="11" borderId="0" xfId="0" applyNumberFormat="1" applyFont="1" applyFill="1" applyBorder="1"/>
    <x:xf numFmtId="0" fontId="9" fillId="11" borderId="0" xfId="0" applyNumberFormat="1" applyFont="1" applyFill="1" applyBorder="1"/>
    <x:xf numFmtId="0" fontId="9" fillId="11" borderId="0" xfId="0" applyNumberFormat="1" applyFont="1" applyFill="1" applyBorder="1" applyAlignment="1">
      <x:alignment vertical="center"/>
    </x:xf>
    <x:xf numFmtId="0" fontId="10" fillId="0" borderId="0" xfId="0" applyNumberFormat="1" applyFont="1" applyFill="1" applyBorder="1"/>
    <x:xf numFmtId="0" fontId="0" fillId="12" borderId="0" xfId="0" applyNumberFormat="1" applyFont="1" applyFill="1" applyBorder="1"/>
    <x:xf numFmtId="0" fontId="11" fillId="12" borderId="0" xfId="0" applyNumberFormat="1" applyFont="1" applyFill="1" applyBorder="1"/>
    <x:xf numFmtId="0" fontId="12" fillId="0" borderId="0" xfId="0" applyNumberFormat="1" applyFont="1" applyFill="1" applyBorder="1"/>
    <x:xf numFmtId="0" fontId="12" fillId="0" borderId="0" xfId="0" applyNumberFormat="1" applyFont="1" applyFill="1" applyBorder="1" applyAlignment="1">
      <x:alignment wrapText="1"/>
    </x:xf>
    <x:xf numFmtId="0" fontId="0" fillId="13" borderId="0" xfId="0" applyNumberFormat="1" applyFont="1" applyFill="1" applyBorder="1"/>
    <x:xf numFmtId="0" fontId="3" fillId="13" borderId="0" xfId="0" applyNumberFormat="1" applyFont="1" applyFill="1" applyBorder="1"/>
    <x:xf numFmtId="0" fontId="3" fillId="13" borderId="0" xfId="0" applyNumberFormat="1" applyFont="1" applyFill="1" applyBorder="1" applyAlignment="1">
      <x:alignment wrapText="1"/>
    </x:xf>
    <x:xf numFmtId="0" fontId="3" fillId="13" borderId="0" xfId="0" applyNumberFormat="1" applyFont="1" applyFill="1" applyBorder="1" applyAlignment="1">
      <x:alignment vertical="center" wrapText="1"/>
    </x:xf>
    <x:xf numFmtId="0" fontId="0" fillId="14" borderId="0" xfId="0" applyNumberFormat="1" applyFont="1" applyFill="1" applyBorder="1" applyAlignment="1">
      <x:alignment wrapText="1"/>
    </x:xf>
    <x:xf numFmtId="0" fontId="13" fillId="14" borderId="0" xfId="0" applyNumberFormat="1" applyFont="1" applyFill="1" applyBorder="1" applyAlignment="1">
      <x:alignment wrapText="1"/>
    </x:xf>
    <x:xf numFmtId="0" fontId="0" fillId="15" borderId="0" xfId="0" applyNumberFormat="1" applyFont="1" applyFill="1" applyBorder="1" applyAlignment="1">
      <x:alignment wrapText="1"/>
    </x:xf>
    <x:xf numFmtId="0" fontId="14" fillId="15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/>
    <x:xf numFmtId="0" fontId="15" fillId="16" borderId="0" xfId="0" applyNumberFormat="1" applyFont="1" applyFill="1" applyBorder="1" applyAlignment="1">
      <x:alignment wrapText="1"/>
    </x:xf>
    <x:xf numFmtId="0" fontId="0" fillId="17" borderId="0" xfId="0" applyNumberFormat="1" applyFont="1" applyFill="1" applyBorder="1"/>
    <x:xf numFmtId="0" fontId="15" fillId="17" borderId="0" xfId="0" applyNumberFormat="1" applyFont="1" applyFill="1" applyBorder="1" applyAlignment="1">
      <x:alignment wrapText="1"/>
    </x:xf>
    <x:xf numFmtId="200" fontId="15" fillId="16" borderId="0" xfId="0" applyNumberFormat="1" applyFont="1" applyFill="1" applyBorder="1" applyAlignment="1">
      <x:alignment wrapText="1"/>
    </x:xf>
    <x:xf numFmtId="200" fontId="15" fillId="17" borderId="0" xfId="0" applyNumberFormat="1" applyFont="1" applyFill="1" applyBorder="1" applyAlignment="1">
      <x:alignment wrapText="1"/>
    </x:xf>
    <x:xf numFmtId="0" fontId="16" fillId="16" borderId="0" xfId="0" applyNumberFormat="1" applyFont="1" applyFill="1" applyBorder="1"/>
    <x:xf numFmtId="0" fontId="16" fillId="16" borderId="0" xfId="0" applyNumberFormat="1" applyFont="1" applyFill="1" applyBorder="1" applyAlignment="1">
      <x:alignment wrapText="1"/>
    </x:xf>
    <x:xf numFmtId="0" fontId="0" fillId="16" borderId="0" xfId="0" applyNumberFormat="1" applyFont="1" applyFill="1" applyBorder="1" applyAlignment="1">
      <x:alignment wrapText="1"/>
    </x:xf>
    <x:xf numFmtId="0" fontId="0" fillId="18" borderId="0" xfId="0" applyNumberFormat="1" applyFont="1" applyFill="1" applyBorder="1" applyAlignment="1">
      <x:alignment wrapText="1"/>
    </x:xf>
  </x:cellXfs>
  <x:cellStyles count="1">
    <x:cellStyle name="Normal" xfId="0"/>
  </x:cellStyles>
  <x:dxfs count="6">
    <x:dxf>
      <x:font>
        <x:color rgb="FF991B1B"/>
      </x:font>
      <x:fill>
        <x:patternFill>
          <x:bgColor rgb="FFFDE8E8"/>
        </x:patternFill>
      </x:fill>
    </x:dxf>
    <x:dxf>
      <x:font>
        <x:color rgb="FF166534"/>
      </x:font>
      <x:fill>
        <x:patternFill>
          <x:bgColor rgb="FFE6F5EB"/>
        </x:patternFill>
      </x:fill>
    </x:dxf>
    <x:dxf>
      <x:font>
        <x:color rgb="FF991B1B"/>
      </x:font>
      <x:fill>
        <x:patternFill>
          <x:bgColor rgb="FFFDE8E8"/>
        </x:patternFill>
      </x:fill>
    </x:dxf>
    <x:dxf>
      <x:font>
        <x:color rgb="FF166534"/>
      </x:font>
      <x:fill>
        <x:patternFill>
          <x:bgColor rgb="FFE6F5EB"/>
        </x:patternFill>
      </x:fill>
    </x:dxf>
    <x:dxf>
      <x:font>
        <x:color rgb="FF991B1B"/>
      </x:font>
      <x:fill>
        <x:patternFill>
          <x:bgColor rgb="FFFDE8E8"/>
        </x:patternFill>
      </x:fill>
    </x:dxf>
    <x:dxf>
      <x:font>
        <x:color rgb="FF166534"/>
      </x:font>
      <x:fill>
        <x:patternFill>
          <x:bgColor rgb="FFE6F5EB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f5c1c8e18d34ae2" /><Relationship Type="http://schemas.openxmlformats.org/officeDocument/2006/relationships/theme" Target="/xl/theme/theme1.xml" Id="Rb996fe3157004010" /><Relationship Type="http://schemas.openxmlformats.org/officeDocument/2006/relationships/sharedStrings" Target="/xl/sharedStrings.xml" Id="R8f208036c97b4723" /><Relationship Type="http://schemas.openxmlformats.org/officeDocument/2006/relationships/worksheet" Target="/xl/worksheets/sheet1.xml" Id="R691ab5e3746647c5" /><Relationship Type="http://schemas.openxmlformats.org/officeDocument/2006/relationships/worksheet" Target="/xl/worksheets/sheet2.xml" Id="R71c94b6b354a4b5a" /><Relationship Type="http://schemas.openxmlformats.org/officeDocument/2006/relationships/worksheet" Target="/xl/worksheets/sheet3.xml" Id="R4e5ac3f28db2401f" /><Relationship Type="http://schemas.openxmlformats.org/officeDocument/2006/relationships/worksheet" Target="/xl/worksheets/sheet4.xml" Id="R62809c317b7d4291" /><Relationship Type="http://schemas.openxmlformats.org/officeDocument/2006/relationships/worksheet" Target="/xl/worksheets/sheet5.xml" Id="Rdd44017c8c3849bb" /><Relationship Type="http://schemas.openxmlformats.org/officeDocument/2006/relationships/worksheet" Target="/xl/worksheets/sheet6.xml" Id="Rb589c158085b4526" /><Relationship Type="http://schemas.openxmlformats.org/officeDocument/2006/relationships/worksheet" Target="/xl/worksheets/sheet7.xml" Id="Rc3df73c7ab10453d" /><Relationship Type="http://schemas.openxmlformats.org/officeDocument/2006/relationships/worksheet" Target="/xl/worksheets/sheet8.xml" Id="Rc7ff4bac39c84483" /><Relationship Type="http://schemas.openxmlformats.org/officeDocument/2006/relationships/worksheet" Target="/xl/worksheets/sheet9.xml" Id="Rc089b02a0c454bb3" /><Relationship Type="http://schemas.openxmlformats.org/officeDocument/2006/relationships/worksheet" Target="/xl/worksheets/sheet10.xml" Id="R3012a4c60de841f0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4" hidden="0" customWidth="1"/>
    <x:col min="2" max="2" width="26" hidden="0" customWidth="1"/>
    <x:col min="3" max="3" width="31" hidden="0" customWidth="1"/>
    <x:col min="4" max="4" width="24" hidden="0" customWidth="1"/>
    <x:col min="5" max="5" width="25" hidden="0" customWidth="1"/>
    <x:col min="6" max="6" width="28" hidden="0" customWidth="1"/>
    <x:col min="7" max="7" width="46" hidden="0" customWidth="1"/>
  </x:cols>
  <x:sheetData>
    <x:row r="2" ht="34" customHeight="1">
      <x:c r="B2" s="5" t="str">
        <x:v>SYSTEM TEST CASE  |  SMARTPARKING</x:v>
      </x:c>
      <x:c r="C2" s="5"/>
      <x:c r="D2" s="5"/>
      <x:c r="E2" s="5"/>
      <x:c r="F2" s="5"/>
      <x:c r="G2" s="5"/>
    </x:row>
    <x:row r="4">
      <x:c r="B4" s="11" t="str">
        <x:v>Project Name</x:v>
      </x:c>
      <x:c r="C4" t="str">
        <x:v>SmartParking</x:v>
      </x:c>
      <x:c r="F4" s="11" t="str">
        <x:v>Creator</x:v>
      </x:c>
      <x:c r="G4" t="str">
        <x:v>QA Team</x:v>
      </x:c>
    </x:row>
    <x:row r="5">
      <x:c r="B5" s="11" t="str">
        <x:v>Project Code</x:v>
      </x:c>
      <x:c r="C5" t="str">
        <x:v>SPARK</x:v>
      </x:c>
      <x:c r="F5" s="11" t="str">
        <x:v>Reviewer / Approver</x:v>
      </x:c>
      <x:c r="G5" t="str">
        <x:v>Pending Leader review</x:v>
      </x:c>
    </x:row>
    <x:row r="6">
      <x:c r="B6" s="11" t="str">
        <x:v>Document Code</x:v>
      </x:c>
      <x:c r="C6" t="str">
        <x:v>SPARK_User_Master_TestCases_v1.0</x:v>
      </x:c>
      <x:c r="F6" s="11" t="str">
        <x:v>Issue Date</x:v>
      </x:c>
      <x:c r="G6" t="str">
        <x:v>2026-10-28</x:v>
      </x:c>
    </x:row>
    <x:row r="7">
      <x:c r="B7" s="11" t="str">
        <x:v>Service / ownership</x:v>
      </x:c>
      <x:c r="C7" t="str">
        <x:v>User</x:v>
      </x:c>
      <x:c r="F7" s="11" t="str">
        <x:v>Version</x:v>
      </x:c>
      <x:c r="G7" t="str">
        <x:v>1.2 REVIEW</x:v>
      </x:c>
    </x:row>
    <x:row r="10">
      <x:c r="B10" s="14" t="str">
        <x:v>Record of change</x:v>
      </x:c>
    </x:row>
    <x:row r="11" ht="35" customHeight="1">
      <x:c r="B11" s="20" t="str">
        <x:v>Effective Date</x:v>
      </x:c>
      <x:c r="C11" s="20" t="str">
        <x:v>Version</x:v>
      </x:c>
      <x:c r="D11" s="20" t="str">
        <x:v>Change Item</x:v>
      </x:c>
      <x:c r="E11" s="20" t="str">
        <x:v>A,D,M</x:v>
      </x:c>
      <x:c r="F11" s="20" t="str">
        <x:v>Change description</x:v>
      </x:c>
      <x:c r="G11" s="20" t="str">
        <x:v>Reference</x:v>
      </x:c>
    </x:row>
    <x:row r="12" ht="52" customHeight="1">
      <x:c r="B12" s="26" t="str">
        <x:v>2026-10-28</x:v>
      </x:c>
      <x:c r="C12" s="26" t="str">
        <x:v>1.0</x:v>
      </x:c>
      <x:c r="D12" s="26" t="str">
        <x:v>Create shared master</x:v>
      </x:c>
      <x:c r="E12" s="26" t="str">
        <x:v>A</x:v>
      </x:c>
      <x:c r="F12" s="26" t="str">
        <x:v>One persistent workbook per service; append QA tests over time.</x:v>
      </x:c>
      <x:c r="G12" s="26" t="str">
        <x:v>Mentor TestTeam_UAT.xlsx</x:v>
      </x:c>
    </x:row>
    <x:row r="13">
      <x:c r="B13" t="str">
        <x:v>2026-10-28</x:v>
      </x:c>
      <x:c r="C13" t="str">
        <x:v>1.1</x:v>
      </x:c>
      <x:c r="D13" t="str">
        <x:v>Migrate SPARK177 + PR9</x:v>
      </x:c>
      <x:c r="E13" t="str">
        <x:v>A</x:v>
      </x:c>
      <x:c r="F13" t="str">
        <x:v>17 User PASS + 15 planned; unit and prior runs indexed</x:v>
      </x:c>
      <x:c r="G13" t="str">
        <x:v>PR9/177 historical source ZIP</x:v>
      </x:c>
    </x:row>
    <x:row r="14">
      <x:c r="B14" t="str">
        <x:v>Quy tắc: ghi theo service gốc gọi đầu tiên; không nhân đôi test liên service.</x:v>
      </x:c>
    </x:row>
    <x:row r="15">
      <x:c r="B15" t="str">
        <x:v>Không thay thế dữ liệu cũ khi cập nhật task mới; bảo toàn lịch sử test và baseline.</x:v>
      </x:c>
    </x:row>
    <x:row r="16">
      <x:c r="B16" t="str">
        <x:v>Chưa được Leader phê duyệt. Đối chiếu docs repo trước khi commit.</x:v>
      </x:c>
    </x:row>
    <x:row r="18" ht="30" customHeight="1">
      <x:c r="B18" s="81" t="str">
        <x:v>2026-10-29</x:v>
      </x:c>
      <x:c r="C18" s="81" t="str">
        <x:v>1.2</x:v>
      </x:c>
      <x:c r="D18" s="81" t="str">
        <x:v>Append SPARK197 API/UAT</x:v>
      </x:c>
      <x:c r="E18" s="81" t="str">
        <x:v>A</x:v>
      </x:c>
      <x:c r="F18" s="81" t="str">
        <x:v>20 PASS + 9 UNTESTED on PR9 SHA; Newman 17/17 assertions. Existing nine sheets retained.</x:v>
      </x:c>
      <x:c r="G18" s="81" t="str">
        <x:v>Jira SPARK-197 / 2026-10-29</x:v>
      </x:c>
    </x:row>
  </x:sheetData>
  <x:mergeCells>
    <x:mergeCell ref="B2:G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workbookViewId="0">
      <x:pane ySplit="10" topLeftCell="A11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48" hidden="0" customWidth="1"/>
    <x:col min="4" max="4" width="13" hidden="0" customWidth="1"/>
    <x:col min="5" max="5" width="13" hidden="0" customWidth="1"/>
    <x:col min="6" max="6" width="16" hidden="0" customWidth="1"/>
    <x:col min="7" max="7" width="14" hidden="0" customWidth="1"/>
    <x:col min="8" max="8" width="22" hidden="0" customWidth="1"/>
    <x:col min="9" max="9" width="23" hidden="0" customWidth="1"/>
    <x:col min="10" max="10" width="17" hidden="0" customWidth="1"/>
  </x:cols>
  <x:sheetData>
    <x:row r="1" ht="34" customHeight="1">
      <x:c r="B1" s="5" t="str">
        <x:v>TEST REPORT  |  USER</x:v>
      </x:c>
      <x:c r="C1" s="5"/>
      <x:c r="D1" s="5"/>
      <x:c r="E1" s="5"/>
      <x:c r="F1" s="5"/>
      <x:c r="G1" s="5"/>
      <x:c r="H1" s="5"/>
      <x:c r="I1" s="5"/>
      <x:c r="J1" s="5"/>
    </x:row>
    <x:row r="3">
      <x:c r="B3" s="11" t="str">
        <x:v>Project Name</x:v>
      </x:c>
      <x:c r="C3" t="str">
        <x:v>SmartParking</x:v>
      </x:c>
      <x:c r="F3" s="11" t="str">
        <x:v>Creator</x:v>
      </x:c>
      <x:c r="G3" t="str">
        <x:v>QA Team</x:v>
      </x:c>
    </x:row>
    <x:row r="4">
      <x:c r="B4" s="11" t="str">
        <x:v>Project Code</x:v>
      </x:c>
      <x:c r="C4" t="str">
        <x:v>SPARK</x:v>
      </x:c>
      <x:c r="F4" s="11" t="str">
        <x:v>Reviewer</x:v>
      </x:c>
      <x:c r="G4" t="str">
        <x:v>Pending</x:v>
      </x:c>
    </x:row>
    <x:row r="5">
      <x:c r="B5" s="11" t="str">
        <x:v>Document Code</x:v>
      </x:c>
      <x:c r="C5" t="str">
        <x:v>SPARK_User_Master_TestCases_v1.0</x:v>
      </x:c>
      <x:c r="F5" s="11" t="str">
        <x:v>Last updated</x:v>
      </x:c>
      <x:c r="G5" t="str">
        <x:v>2026-10-29</x:v>
      </x:c>
    </x:row>
    <x:row r="6">
      <x:c r="B6" s="11" t="str">
        <x:v>Notes</x:v>
      </x:c>
      <x:c r="C6" t="str">
        <x:v>Master test cases; Unit/DI assertions are reported in Word only.</x:v>
      </x:c>
      <x:c r="F6" t="str">
        <x:v>Historical SPARK-177 (multiple baselines) + PR9 current 05e2976d; Unit tests are separate.</x:v>
      </x:c>
    </x:row>
    <x:row r="10" ht="35" customHeight="1">
      <x:c r="B10" s="20" t="str">
        <x:v>No</x:v>
      </x:c>
      <x:c r="C10" s="20" t="str">
        <x:v>Module code</x:v>
      </x:c>
      <x:c r="D10" s="20" t="str">
        <x:v>Pass</x:v>
      </x:c>
      <x:c r="E10" s="20" t="str">
        <x:v>Fail</x:v>
      </x:c>
      <x:c r="F10" s="20" t="str">
        <x:v>Untested</x:v>
      </x:c>
      <x:c r="G10" s="20" t="str">
        <x:v>N/A</x:v>
      </x:c>
      <x:c r="H10" s="20" t="str">
        <x:v>Number of test cases</x:v>
      </x:c>
      <x:c r="I10" s="20" t="str">
        <x:v>% Passed of tests</x:v>
      </x:c>
      <x:c r="J10" s="20" t="str">
        <x:v>Blocked</x:v>
      </x:c>
    </x:row>
    <x:row r="11">
      <x:c r="B11" t="n">
        <x:v>1</x:v>
      </x:c>
      <x:c r="C11" t="str">
        <x:v>PR9_Owner_E2E</x:v>
      </x:c>
      <x:c r="D11" t="n">
        <x:v>10</x:v>
      </x:c>
      <x:c r="E11" t="n">
        <x:v>0</x:v>
      </x:c>
      <x:c r="F11" t="n">
        <x:v>0</x:v>
      </x:c>
      <x:c r="G11" t="n">
        <x:v>0</x:v>
      </x:c>
      <x:c r="H11" t="n">
        <x:v>10</x:v>
      </x:c>
      <x:c r="I11" s="32" t="n">
        <x:f>IFERROR(D11/H11,0)</x:f>
        <x:v>1</x:v>
      </x:c>
      <x:c r="J11" t="n">
        <x:v>0</x:v>
      </x:c>
    </x:row>
    <x:row r="12">
      <x:c r="B12" t="n">
        <x:v>2</x:v>
      </x:c>
      <x:c r="C12" s="29" t="str">
        <x:v>PR9_Auth_UI</x:v>
      </x:c>
      <x:c r="D12" s="29" t="n">
        <x:v>7</x:v>
      </x:c>
      <x:c r="E12" s="29" t="n">
        <x:v>0</x:v>
      </x:c>
      <x:c r="F12" s="29" t="n">
        <x:v>0</x:v>
      </x:c>
      <x:c r="G12" s="29" t="n">
        <x:v>0</x:v>
      </x:c>
      <x:c r="H12" s="29" t="n">
        <x:v>7</x:v>
      </x:c>
      <x:c r="I12" s="33" t="n">
        <x:f>IFERROR(D12/H12,0)</x:f>
        <x:v>1</x:v>
      </x:c>
      <x:c r="J12" s="29" t="n">
        <x:v>0</x:v>
      </x:c>
    </x:row>
    <x:row r="13">
      <x:c r="B13" t="n">
        <x:v>3</x:v>
      </x:c>
      <x:c r="C13" t="str">
        <x:v>SP177_Planned_QA</x:v>
      </x:c>
      <x:c r="D13" t="n">
        <x:v>0</x:v>
      </x:c>
      <x:c r="E13" t="n">
        <x:v>0</x:v>
      </x:c>
      <x:c r="F13" t="n">
        <x:v>15</x:v>
      </x:c>
      <x:c r="G13" t="n">
        <x:v>0</x:v>
      </x:c>
      <x:c r="H13" t="n">
        <x:v>15</x:v>
      </x:c>
      <x:c r="I13" s="32" t="n">
        <x:f>IFERROR(D13/H13,0)</x:f>
        <x:v>0</x:v>
      </x:c>
      <x:c r="J13" t="n">
        <x:v>0</x:v>
      </x:c>
    </x:row>
    <x:row r="14">
      <x:c r="B14" s="55"/>
      <x:c r="C14" s="55" t="str">
        <x:v>Sub total</x:v>
      </x:c>
      <x:c r="D14" s="55" t="n">
        <x:f>SUM(D11:D13)</x:f>
        <x:v>17</x:v>
      </x:c>
      <x:c r="E14" s="55" t="n">
        <x:f>SUM(E11:E13)</x:f>
        <x:v>0</x:v>
      </x:c>
      <x:c r="F14" s="55" t="n">
        <x:f>SUM(F11:F13)</x:f>
        <x:v>15</x:v>
      </x:c>
      <x:c r="G14" s="55" t="n">
        <x:f>SUM(G11:G13)</x:f>
        <x:v>0</x:v>
      </x:c>
      <x:c r="H14" s="55" t="n">
        <x:f>SUM(H11:H13)</x:f>
        <x:v>32</x:v>
      </x:c>
      <x:c r="I14" s="56" t="n">
        <x:f>IFERROR(D14/H14,0)</x:f>
        <x:v>0.53125</x:v>
      </x:c>
      <x:c r="J14" s="55" t="n">
        <x:f>SUM(J11:J13)</x:f>
        <x:v>0</x:v>
      </x:c>
    </x:row>
    <x:row r="15" ht="26" customHeight="1">
      <x:c r="B15" s="74" t="n">
        <x:v>4</x:v>
      </x:c>
      <x:c r="C15" s="75" t="str">
        <x:v>SP197_Admin_Approval</x:v>
      </x:c>
      <x:c r="D15" s="75" t="n">
        <x:v>20</x:v>
      </x:c>
      <x:c r="E15" s="75" t="n">
        <x:v>0</x:v>
      </x:c>
      <x:c r="F15" s="75" t="n">
        <x:v>9</x:v>
      </x:c>
      <x:c r="G15" s="75" t="n">
        <x:v>0</x:v>
      </x:c>
      <x:c r="H15" s="75" t="n">
        <x:v>29</x:v>
      </x:c>
      <x:c r="I15" s="78" t="n">
        <x:f>IFERROR(D15/H15,0)</x:f>
        <x:v>0.6896551724137931</x:v>
      </x:c>
      <x:c r="J15" s="75" t="n">
        <x:v>0</x:v>
      </x:c>
    </x:row>
    <x:row r="16" ht="26" customHeight="1">
      <x:c r="B16" s="76"/>
      <x:c r="C16" s="77" t="str">
        <x:v>Cross-baseline total (reference only)</x:v>
      </x:c>
      <x:c r="D16" s="77" t="n">
        <x:f>D14+D15</x:f>
        <x:v>37</x:v>
      </x:c>
      <x:c r="E16" s="77" t="n">
        <x:f>E14+E15</x:f>
        <x:v>0</x:v>
      </x:c>
      <x:c r="F16" s="77" t="n">
        <x:f>F14+F15</x:f>
        <x:v>24</x:v>
      </x:c>
      <x:c r="G16" s="77" t="n">
        <x:f>G14+G15</x:f>
        <x:v>0</x:v>
      </x:c>
      <x:c r="H16" s="77" t="n">
        <x:f>H14+H15</x:f>
        <x:v>61</x:v>
      </x:c>
      <x:c r="I16" s="79" t="n">
        <x:f>IFERROR(D16/H16,0)</x:f>
        <x:v>0.6065573770491803</x:v>
      </x:c>
      <x:c r="J16" s="77" t="n">
        <x:f>J14+J15</x:f>
        <x:v>0</x:v>
      </x:c>
    </x:row>
    <x:row r="17">
      <x:c r="B17" t="str">
        <x:v>SPARK-197 QA coverage</x:v>
      </x:c>
      <x:c r="C17" s="32" t="n">
        <x:f>IFERROR(D15/H15,0)</x:f>
        <x:v>0.6896551724137931</x:v>
      </x:c>
    </x:row>
    <x:row r="18" ht="30" customHeight="1">
      <x:c r="B18" t="str">
        <x:v>Note</x:v>
      </x:c>
      <x:c r="C18" s="26" t="str">
        <x:v>Cross-baseline total is indicative; prior PR9 and SPARK-177 results are different SHAs and must NOT be treated as current release sign-off.</x:v>
      </x:c>
    </x:row>
    <x:row r="22">
      <x:c r="B22" t="str">
        <x:v>Historical coverage (PR9/SP177 only)</x:v>
      </x:c>
      <x:c r="C22" s="32" t="n">
        <x:f>IFERROR((D14+E14)/H14,0)</x:f>
        <x:v>0.53125</x:v>
      </x:c>
    </x:row>
    <x:row r="23">
      <x:c r="B23" t="str">
        <x:v>Status / sign-off</x:v>
      </x:c>
      <x:c r="C23" t="str">
        <x:v>Old PR9 05e2976d and SP177 scope unchanged; SPARK197 99520912 partial PASS (20 executed, 9 untested). NOT FINAL QA SIGN-OFF.</x:v>
      </x:c>
    </x:row>
    <x:row r="25">
      <x:c r="B25" t="str">
        <x:v>Notes</x:v>
      </x:c>
      <x:c r="C25" t="str">
        <x:v>Blocked is shown separately; Unit Tests do NOT inflate QA case counts.</x:v>
      </x:c>
    </x:row>
    <x:row r="26">
      <x:c r="B26" t="str">
        <x:v>Source</x:v>
      </x:c>
      <x:c r="C26" t="str">
        <x:v>PR9 Word/Excel 2026-10-22; SPARK177 historical DRAFT and Gap Matrix. Historical run totals kept separately.</x:v>
      </x:c>
    </x:row>
    <x:row r="28" ht="35" customHeight="1">
      <x:c r="B28" t="str">
        <x:v>UNIT TEST (reference only)</x:v>
      </x:c>
      <x:c r="C28" s="20" t="str">
        <x:v>Passed</x:v>
      </x:c>
      <x:c r="D28" s="20" t="str">
        <x:v>Failed</x:v>
      </x:c>
      <x:c r="E28" s="20" t="str">
        <x:v>Skipped</x:v>
      </x:c>
      <x:c r="F28" s="20" t="str">
        <x:v>Execution</x:v>
      </x:c>
    </x:row>
    <x:row r="29">
      <x:c r="B29" t="str">
        <x:v>SPARK-177 / Fix2FA</x:v>
      </x:c>
      <x:c r="C29" t="n">
        <x:v>73</x:v>
      </x:c>
      <x:c r="D29" t="n">
        <x:v>0</x:v>
      </x:c>
      <x:c r="E29" t="n">
        <x:v>26</x:v>
      </x:c>
      <x:c r="F29" t="str">
        <x:v>99 total on 19/10/2026; tests skipped; independent review pending</x:v>
      </x:c>
    </x:row>
    <x:row r="30">
      <x:c r="B30" t="str">
        <x:v>PR9 / 05e2976d</x:v>
      </x:c>
      <x:c r="C30" t="n">
        <x:v>167</x:v>
      </x:c>
      <x:c r="D30" t="n">
        <x:v>0</x:v>
      </x:c>
      <x:c r="E30" t="n">
        <x:v>0</x:v>
      </x:c>
      <x:c r="F30" t="str">
        <x:v>Developer .NET test rerun / 22/10/2026; different SHA</x:v>
      </x:c>
    </x:row>
    <x:row r="31">
      <x:c r="B31" t="str">
        <x:v>Do not add Unit Tests above to QA Pass column.</x:v>
      </x:c>
    </x:row>
  </x:sheetData>
  <x:mergeCells>
    <x:mergeCell ref="B1:J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workbookViewId="0">
      <x:pane ySplit="8" topLeftCell="A9" activePane="bottomLeft" state="frozen"/>
    </x:sheetView>
  </x:sheetViews>
  <x:sheetFormatPr defaultRowHeight="15"/>
  <x:cols>
    <x:col min="1" max="1" width="4" hidden="0" customWidth="1"/>
    <x:col min="2" max="2" width="13" hidden="0" customWidth="1"/>
    <x:col min="3" max="3" width="34" hidden="0" customWidth="1"/>
    <x:col min="4" max="4" width="34" hidden="0" customWidth="1"/>
    <x:col min="5" max="5" width="55" hidden="0" customWidth="1"/>
    <x:col min="6" max="6" width="46" hidden="0" customWidth="1"/>
  </x:cols>
  <x:sheetData>
    <x:row r="1" ht="34" customHeight="1">
      <x:c r="B1" s="5" t="str">
        <x:v>TEST CASE LIST  |  USER</x:v>
      </x:c>
      <x:c r="C1" s="5"/>
      <x:c r="D1" s="5"/>
      <x:c r="E1" s="5"/>
      <x:c r="F1" s="5"/>
    </x:row>
    <x:row r="3">
      <x:c r="B3" s="11" t="str">
        <x:v>Project Name</x:v>
      </x:c>
      <x:c r="C3"/>
      <x:c r="D3" t="str">
        <x:v>SmartParking</x:v>
      </x:c>
    </x:row>
    <x:row r="4">
      <x:c r="B4" s="11" t="str">
        <x:v>Project Code</x:v>
      </x:c>
      <x:c r="C4"/>
      <x:c r="D4" t="str">
        <x:v>SPARK</x:v>
      </x:c>
    </x:row>
    <x:row r="5">
      <x:c r="B5" s="11" t="str">
        <x:v>Test Environment Setup Description</x:v>
      </x:c>
      <x:c r="C5"/>
      <x:c r="D5" t="str">
        <x:v>Windows 11; .NET 10 / QA mock; PostgreSQL 16 (only where verified)</x:v>
      </x:c>
    </x:row>
    <x:row r="8" ht="35" customHeight="1">
      <x:c r="B8" s="20" t="str">
        <x:v>No</x:v>
      </x:c>
      <x:c r="C8" s="20" t="str">
        <x:v>Function Name</x:v>
      </x:c>
      <x:c r="D8" s="20" t="str">
        <x:v>Sheet Name</x:v>
      </x:c>
      <x:c r="E8" s="20" t="str">
        <x:v>Description</x:v>
      </x:c>
      <x:c r="F8" s="20" t="str">
        <x:v>Pre-Condition</x:v>
      </x:c>
    </x:row>
    <x:row r="9" ht="28" customHeight="1">
      <x:c r="B9" s="26" t="n">
        <x:v>1</x:v>
      </x:c>
      <x:c r="C9" s="26" t="str">
        <x:v>PR9_Owner_E2E</x:v>
      </x:c>
      <x:c r="D9" s="26" t="str">
        <x:v>PR9_Owner_E2E</x:v>
      </x:c>
      <x:c r="E9" s="26" t="str">
        <x:v>10 Owner onboarding positive E2E checks, UserService-root</x:v>
      </x:c>
      <x:c r="F9" s="26" t="str">
        <x:v>PR9 QA account; local SMTP, User/Facility/Reservation APIs</x:v>
      </x:c>
    </x:row>
    <x:row r="10" ht="28" customHeight="1">
      <x:c r="B10" s="26" t="n">
        <x:v>2</x:v>
      </x:c>
      <x:c r="C10" s="26" t="str">
        <x:v>PR9_Auth_UI</x:v>
      </x:c>
      <x:c r="D10" s="26" t="str">
        <x:v>PR9_Auth_UI</x:v>
      </x:c>
      <x:c r="E10" s="26" t="str">
        <x:v>7 additional Admin/Owner/Sign-up UI checks</x:v>
      </x:c>
      <x:c r="F10" s="26" t="str">
        <x:v>Current 05e2976d UI; QA user role</x:v>
      </x:c>
    </x:row>
    <x:row r="11" ht="28" customHeight="1">
      <x:c r="B11" s="26" t="n">
        <x:v>3</x:v>
      </x:c>
      <x:c r="C11" s="26" t="str">
        <x:v>SP177_Planned_QA</x:v>
      </x:c>
      <x:c r="D11" s="26" t="str">
        <x:v>SP177_Planned_QA</x:v>
      </x:c>
      <x:c r="E11" s="26" t="str">
        <x:v>15 SPARK-177 pending test scenarios; not executed</x:v>
      </x:c>
      <x:c r="F11" s="26" t="str">
        <x:v>Approved auth requirements; safe auth fixtures</x:v>
      </x:c>
    </x:row>
    <x:row r="12" ht="38" customHeight="1">
      <x:c r="B12" s="26" t="n">
        <x:v>4</x:v>
      </x:c>
      <x:c r="C12" s="26" t="str">
        <x:v>SP197_Admin_Approval</x:v>
      </x:c>
      <x:c r="D12" s="26" t="str">
        <x:v>SP197_Admin_Approval</x:v>
      </x:c>
      <x:c r="E12" s="26" t="str">
        <x:v>20 executed cases (10 UAT + 10 Newman) + 9 scoped planned gaps; baseline 99520912</x:v>
      </x:c>
      <x:c r="F12" s="26" t="str">
        <x:v>Isolated PR9 QA; Owner A/B synthetic; approved Admin; Newman evidence</x:v>
      </x:c>
    </x:row>
  </x:sheetData>
  <x:mergeCells>
    <x:mergeCell ref="B1:F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workbookViewId="0">
      <x:pane ySplit="5" topLeftCell="A6" activePane="bottomLeft" state="frozen"/>
    </x:sheetView>
  </x:sheetViews>
  <x:sheetFormatPr defaultRowHeight="15"/>
  <x:cols>
    <x:col min="1" max="1" width="4" hidden="0" customWidth="1"/>
    <x:col min="2" max="2" width="25" hidden="0" customWidth="1"/>
    <x:col min="3" max="3" width="39" hidden="0" customWidth="1"/>
    <x:col min="4" max="4" width="70" hidden="0" customWidth="1"/>
    <x:col min="5" max="5" width="69" hidden="0" customWidth="1"/>
    <x:col min="6" max="6" width="28" hidden="0" customWidth="1"/>
  </x:cols>
  <x:sheetData>
    <x:row r="1" ht="34" customHeight="1">
      <x:c r="B1" s="5" t="str">
        <x:v>HISTORICAL TEST INTAKE  |  USER</x:v>
      </x:c>
      <x:c r="C1" s="5"/>
      <x:c r="D1" s="5"/>
      <x:c r="E1" s="5"/>
      <x:c r="F1" s="5"/>
    </x:row>
    <x:row r="3">
      <x:c r="B3" t="str">
        <x:v>Historical summaries below are NOT added to current QA Pass/Fail totals until original case evidence is reconciled.</x:v>
      </x:c>
    </x:row>
    <x:row r="5" ht="35" customHeight="1">
      <x:c r="B5" s="20" t="str">
        <x:v>Source task / PR</x:v>
      </x:c>
      <x:c r="C5" s="20" t="str">
        <x:v>Scope</x:v>
      </x:c>
      <x:c r="D5" s="20" t="str">
        <x:v>Prior outcome summary</x:v>
      </x:c>
      <x:c r="E5" s="20" t="str">
        <x:v>Required evidence / actions</x:v>
      </x:c>
      <x:c r="F5" s="20" t="str">
        <x:v>Migration status</x:v>
      </x:c>
    </x:row>
    <x:row r="6" ht="85" customHeight="1">
      <x:c r="B6" s="26" t="str">
        <x:v>SPARK-177</x:v>
      </x:c>
      <x:c r="C6" s="26" t="str">
        <x:v>Login/Logout API Testing + UAT</x:v>
      </x:c>
      <x:c r="D6" s="26" t="str">
        <x:v>15 planned QA test cases imported as UNTESTED; 19 demo PASS, 9 Fix2FA PASS, 5 negative smoke PASS kept as historical runs only; xUnit 73/0/26.</x:v>
      </x:c>
      <x:c r="E6" s="26" t="str">
        <x:v>Historical runs have no row-level raw execution in ZIP; do not mark baseline current PASS. MFA 500 unresolved cause; Newman/UAT incomplete.</x:v>
      </x:c>
      <x:c r="F6" s="26" t="str">
        <x:v>15 PLANNED CASES + HISTORY INDEXED</x:v>
      </x:c>
    </x:row>
    <x:row r="7" ht="85" customHeight="1">
      <x:c r="B7" s="26" t="str">
        <x:v>PR #9</x:v>
      </x:c>
      <x:c r="C7" s="26" t="str">
        <x:v>Owner onboarding / Fix2FA QA</x:v>
      </x:c>
      <x:c r="D7" s="26" t="str">
        <x:v>17 detailed User-root PR9 positive/UI cases imported (10 Owner E2E + 7 Admin/Auth UI); 167 xUnit pass separate. Facility UI 2 cases provisional.</x:v>
      </x:c>
      <x:c r="E7" s="26" t="str">
        <x:v>PR9 SHA 05e2976d; QA candidate tasks SPARK-181 (registration) / SPARK-197 (approval), mapped provisionally per case; confirm against Jira scope. SMTP Gmail 535 was environment/account, not proven product bug.</x:v>
      </x:c>
      <x:c r="F7" s="26" t="str">
        <x:v>17 USER CASES IMPORTED; FACILITY OWNER TBC</x:v>
      </x:c>
    </x:row>
  </x:sheetData>
  <x:mergeCells>
    <x:mergeCell ref="B1:F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22" hidden="0" customWidth="1"/>
    <x:col min="3" max="3" width="28" hidden="0" customWidth="1"/>
    <x:col min="4" max="4" width="40" hidden="0" customWidth="1"/>
    <x:col min="5" max="5" width="35" hidden="0" customWidth="1"/>
    <x:col min="6" max="6" width="27" hidden="0" customWidth="1"/>
    <x:col min="7" max="7" width="15" hidden="0" customWidth="1"/>
    <x:col min="8" max="8" width="15" hidden="0" customWidth="1"/>
    <x:col min="9" max="9" width="13" hidden="0" customWidth="1"/>
    <x:col min="10" max="10" width="14" hidden="0" customWidth="1"/>
    <x:col min="11" max="11" width="12" hidden="0" customWidth="1"/>
    <x:col min="12" max="12" width="14" hidden="0" customWidth="1"/>
    <x:col min="13" max="13" width="48" hidden="0" customWidth="1"/>
    <x:col min="14" max="14" width="25" hidden="0" customWidth="1"/>
    <x:col min="15" max="15" width="25" hidden="0" customWidth="1"/>
    <x:col min="16" max="16" width="48" hidden="0" customWidth="1"/>
    <x:col min="17" max="17" width="38" hidden="0" customWidth="1"/>
  </x:cols>
  <x:sheetData>
    <x:row r="1" ht="35" customHeight="1">
      <x:c r="B1" s="39" t="str">
        <x:v>SMART PARKING  |  PR9_Owner_E2E</x:v>
      </x:c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</x:row>
    <x:row r="2">
      <x:c r="B2" s="41" t="str">
        <x:v>Module Code</x:v>
      </x:c>
      <x:c r="C2" t="str">
        <x:v>PR9_Owner_E2E</x:v>
      </x:c>
    </x:row>
    <x:row r="3">
      <x:c r="B3" s="41" t="str">
        <x:v>Test requirement</x:v>
      </x:c>
      <x:c r="C3" t="str">
        <x:v>PR #9 · QA key TBD</x:v>
      </x:c>
    </x:row>
    <x:row r="4">
      <x:c r="B4" s="41" t="str">
        <x:v>Reference Document</x:v>
      </x:c>
      <x:c r="C4" s="44" t="str">
        <x:v>UserService-root Owner registration workflow (10 linked checks), baseline 05e2976d; email via UserService worker.</x:v>
      </x:c>
      <x:c r="D4" s="44"/>
      <x:c r="E4" s="44"/>
      <x:c r="F4" s="44"/>
      <x:c r="G4" s="44"/>
      <x:c r="H4" s="44"/>
      <x:c r="I4" s="44"/>
      <x:c r="J4" s="44"/>
      <x:c r="K4" s="44"/>
      <x:c r="L4" s="44"/>
      <x:c r="M4" s="44"/>
      <x:c r="N4" s="44"/>
      <x:c r="O4" s="44"/>
      <x:c r="P4" s="44"/>
      <x:c r="Q4" s="44"/>
    </x:row>
    <x:row r="5">
      <x:c r="B5" s="49" t="str">
        <x:v>% Passed of tests</x:v>
      </x:c>
      <x:c r="C5" s="49" t="str">
        <x:v>Pass</x:v>
      </x:c>
      <x:c r="D5" s="49" t="str">
        <x:v>Fail</x:v>
      </x:c>
      <x:c r="E5" s="49" t="str">
        <x:v>Untested</x:v>
      </x:c>
      <x:c r="F5" s="49" t="str">
        <x:v>N/A</x:v>
      </x:c>
      <x:c r="G5" s="49" t="str">
        <x:v>Number of test cases</x:v>
      </x:c>
      <x:c r="H5" s="49" t="str">
        <x:v>Blocked</x:v>
      </x:c>
    </x:row>
    <x:row r="6" ht="24" customHeight="1">
      <x:c r="B6" s="32" t="n">
        <x:f>IFERROR(C6/G6,0)</x:f>
        <x:v>1</x:v>
      </x:c>
      <x:c r="C6" t="n">
        <x:v>10</x:v>
      </x:c>
      <x:c r="D6" t="n">
        <x:v>0</x:v>
      </x:c>
      <x:c r="E6" t="n">
        <x:v>0</x:v>
      </x:c>
      <x:c r="F6" t="n">
        <x:v>0</x:v>
      </x:c>
      <x:c r="G6" t="n">
        <x:v>10</x:v>
      </x:c>
      <x:c r="H6" t="n">
        <x:v>0</x:v>
      </x:c>
    </x:row>
    <x:row r="8" ht="28" customHeight="1">
      <x:c r="B8" s="44" t="str">
        <x:v>Nguồn: tài liệu gốc trong Historical ZIP. Tổng hợp theo nhiều commit; không suy diễn kết quả ở HEAD mới.</x:v>
      </x:c>
      <x:c r="C8" s="44"/>
      <x:c r="D8" s="44"/>
      <x:c r="E8" s="44"/>
      <x:c r="F8" s="44"/>
      <x:c r="G8" s="44"/>
      <x:c r="H8" s="44"/>
      <x:c r="I8" s="44"/>
      <x:c r="J8" s="44"/>
      <x:c r="K8" s="44"/>
      <x:c r="L8" s="44"/>
      <x:c r="M8" s="44"/>
      <x:c r="N8" s="44"/>
      <x:c r="O8" s="44"/>
      <x:c r="P8" s="44"/>
      <x:c r="Q8" s="44"/>
    </x:row>
    <x:row r="9" ht="35" customHeight="1">
      <x:c r="B9" s="49" t="str">
        <x:v>ID</x:v>
      </x:c>
      <x:c r="C9" s="49" t="str">
        <x:v>Test Case Description</x:v>
      </x:c>
      <x:c r="D9" s="49" t="str">
        <x:v>Test Case Procedure</x:v>
      </x:c>
      <x:c r="E9" s="49" t="str">
        <x:v>Expected Results</x:v>
      </x:c>
      <x:c r="F9" s="49" t="str">
        <x:v>Inter-test case Dependence</x:v>
      </x:c>
      <x:c r="G9" s="49" t="str">
        <x:v>Result</x:v>
      </x:c>
      <x:c r="H9" s="49" t="str">
        <x:v>Test date</x:v>
      </x:c>
      <x:c r="I9" s="49" t="str">
        <x:v>Tester</x:v>
      </x:c>
      <x:c r="J9" s="49" t="str">
        <x:v>Number of tests</x:v>
      </x:c>
      <x:c r="K9" s="49" t="str">
        <x:v>Passed</x:v>
      </x:c>
      <x:c r="L9" s="49" t="str">
        <x:v>% Passed</x:v>
      </x:c>
      <x:c r="M9" s="49" t="str">
        <x:v>Note / Actual</x:v>
      </x:c>
      <x:c r="N9" s="49" t="str">
        <x:v>Testing Jira</x:v>
      </x:c>
      <x:c r="O9" s="49" t="str">
        <x:v>Baseline commit</x:v>
      </x:c>
      <x:c r="P9" s="49" t="str">
        <x:v>Evidence / source</x:v>
      </x:c>
      <x:c r="Q9" s="49" t="str">
        <x:v>Scenario type</x:v>
      </x:c>
    </x:row>
    <x:row r="10" ht="57" customHeight="1">
      <x:c r="B10" s="52" t="str">
        <x:v>[PR9-E2E-01]</x:v>
      </x:c>
      <x:c r="C10" s="26" t="str">
        <x:v>E2E / New Owner</x:v>
      </x:c>
      <x:c r="D10" s="26" t="str">
        <x:v>Sign Up &gt; Business; tạo tài khoản test</x:v>
      </x:c>
      <x:c r="E10" s="26" t="str">
        <x:v>Chấp nhận đăng ký hợp lệ</x:v>
      </x:c>
      <x:c r="F10" s="26" t="str">
        <x:v>QA email alias chưa tồn tại, số thử không trùng</x:v>
      </x:c>
      <x:c r="G10" s="26" t="str">
        <x:v>Pass</x:v>
      </x:c>
      <x:c r="H10" s="26" t="str">
        <x:v>2026-10-22</x:v>
      </x:c>
      <x:c r="I10" s="26" t="str">
        <x:v>QA Tester</x:v>
      </x:c>
      <x:c r="J10" s="26" t="n">
        <x:v>1</x:v>
      </x:c>
      <x:c r="K10" s="26" t="n">
        <x:f>IF(G10="Pass",1,0)</x:f>
        <x:v>1</x:v>
      </x:c>
      <x:c r="L10" s="51" t="n">
        <x:f>IFERROR(K10/J10,0)</x:f>
        <x:v>1</x:v>
      </x:c>
      <x:c r="M10" s="26" t="str">
        <x:v>Chuyển sang thiết lập bãi đỗ, không còn CONTACT_EXISTS
Test positive; chỉ dùng dữ liệu QA</x:v>
      </x:c>
      <x:c r="N10" s="26" t="str">
        <x:v>SPARK-181 (provisional PR9 mapping; verify scope)</x:v>
      </x:c>
      <x:c r="O10" s="26" t="str">
        <x:v>05e2976d (short SHA, source-reported)</x:v>
      </x:c>
      <x:c r="P10" s="26" t="str">
        <x:v>EV-E2E-01 · PR9_QA_Traceability_Final.xlsx TEST_CASES; screenshot index in PR9_QA_Final_Report.docx</x:v>
      </x:c>
      <x:c r="Q10" s="26" t="str">
        <x:v>UserService origin / FE owner-onboarding / Admin auth (UI evidence)</x:v>
      </x:c>
    </x:row>
    <x:row r="11" ht="57" customHeight="1">
      <x:c r="B11" s="52" t="str">
        <x:v>[PR9-E2E-02]</x:v>
      </x:c>
      <x:c r="C11" s="26" t="str">
        <x:v>E2E / Lot setup</x:v>
      </x:c>
      <x:c r="D11" s="26" t="str">
        <x:v>Outdoor Lot; Structure; Devices; Pricing &amp; Policy; Confirm; Save</x:v>
      </x:c>
      <x:c r="E11" s="26" t="str">
        <x:v>Lot được lưu, chuyển sang verify email</x:v>
      </x:c>
      <x:c r="F11" s="26" t="str">
        <x:v>Đăng ký Owner QA đã tạo bước đầu</x:v>
      </x:c>
      <x:c r="G11" s="26" t="str">
        <x:v>Pass</x:v>
      </x:c>
      <x:c r="H11" s="26" t="str">
        <x:v>2026-10-22</x:v>
      </x:c>
      <x:c r="I11" s="26" t="str">
        <x:v>QA Tester</x:v>
      </x:c>
      <x:c r="J11" s="26" t="n">
        <x:v>1</x:v>
      </x:c>
      <x:c r="K11" s="26" t="n">
        <x:f>IF(G11="Pass",1,0)</x:f>
        <x:v>1</x:v>
      </x:c>
      <x:c r="L11" s="51" t="n">
        <x:f>IFERROR(K11/J11,0)</x:f>
        <x:v>1</x:v>
      </x:c>
      <x:c r="M11" s="26" t="str">
        <x:v>Thông báo lot setup saved và form verification xuất hiện
Lot name PR9 QA SMTP Test Lot, 20 planned slots</x:v>
      </x:c>
      <x:c r="N11" s="26" t="str">
        <x:v>SPARK-181 (provisional PR9 mapping; verify scope)</x:v>
      </x:c>
      <x:c r="O11" s="26" t="str">
        <x:v>05e2976d (short SHA, source-reported)</x:v>
      </x:c>
      <x:c r="P11" s="26" t="str">
        <x:v>EV-E2E-01 · PR9_QA_Traceability_Final.xlsx TEST_CASES; screenshot index in PR9_QA_Final_Report.docx</x:v>
      </x:c>
      <x:c r="Q11" s="26" t="str">
        <x:v>UserService origin / FE owner-onboarding / Admin auth (UI evidence)</x:v>
      </x:c>
    </x:row>
    <x:row r="12" ht="57" customHeight="1">
      <x:c r="B12" s="52" t="str">
        <x:v>[PR9-E2E-03]</x:v>
      </x:c>
      <x:c r="C12" s="26" t="str">
        <x:v>E2E / Real OTP email</x:v>
      </x:c>
      <x:c r="D12" s="26" t="str">
        <x:v>Submit setup; mở Gmail của người nhận</x:v>
      </x:c>
      <x:c r="E12" s="26" t="str">
        <x:v>OTP thật vào Inbox</x:v>
      </x:c>
      <x:c r="F12" s="26" t="str">
        <x:v>UserService SMTP Gmail qtang... &amp; recipient QA</x:v>
      </x:c>
      <x:c r="G12" s="26" t="str">
        <x:v>Pass</x:v>
      </x:c>
      <x:c r="H12" s="26" t="str">
        <x:v>2026-10-22</x:v>
      </x:c>
      <x:c r="I12" s="26" t="str">
        <x:v>QA Tester</x:v>
      </x:c>
      <x:c r="J12" s="26" t="n">
        <x:v>1</x:v>
      </x:c>
      <x:c r="K12" s="26" t="n">
        <x:f>IF(G12="Pass",1,0)</x:f>
        <x:v>1</x:v>
      </x:c>
      <x:c r="L12" s="51" t="n">
        <x:f>IFERROR(K12/J12,0)</x:f>
        <x:v>1</x:v>
      </x:c>
      <x:c r="M12" s="26" t="str">
        <x:v>SmartPark verification nhận lúc 17:30, từ Gmail thay thế
OTP đã che trong Word; không lưu mã</x:v>
      </x:c>
      <x:c r="N12" s="26" t="str">
        <x:v>SPARK-181 (provisional PR9 mapping; verify scope)</x:v>
      </x:c>
      <x:c r="O12" s="26" t="str">
        <x:v>05e2976d (short SHA, source-reported)</x:v>
      </x:c>
      <x:c r="P12" s="26" t="str">
        <x:v>EV-E2E-02 · PR9_QA_Traceability_Final.xlsx TEST_CASES; screenshot index in PR9_QA_Final_Report.docx</x:v>
      </x:c>
      <x:c r="Q12" s="26" t="str">
        <x:v>UserService origin / FE owner-onboarding / Admin auth (UI evidence)</x:v>
      </x:c>
    </x:row>
    <x:row r="13" ht="57" customHeight="1">
      <x:c r="B13" s="52" t="str">
        <x:v>[PR9-E2E-04]</x:v>
      </x:c>
      <x:c r="C13" s="26" t="str">
        <x:v>E2E / OTP verify</x:v>
      </x:c>
      <x:c r="D13" s="26" t="str">
        <x:v>Nhập OTP trong Verification UI và Verify</x:v>
      </x:c>
      <x:c r="E13" s="26" t="str">
        <x:v>Email verified; application submitted</x:v>
      </x:c>
      <x:c r="F13" s="26" t="str">
        <x:v>Có OTP Gmail thật còn hiệu lực</x:v>
      </x:c>
      <x:c r="G13" s="26" t="str">
        <x:v>Pass</x:v>
      </x:c>
      <x:c r="H13" s="26" t="str">
        <x:v>2026-10-22</x:v>
      </x:c>
      <x:c r="I13" s="26" t="str">
        <x:v>QA Tester</x:v>
      </x:c>
      <x:c r="J13" s="26" t="n">
        <x:v>1</x:v>
      </x:c>
      <x:c r="K13" s="26" t="n">
        <x:f>IF(G13="Pass",1,0)</x:f>
        <x:v>1</x:v>
      </x:c>
      <x:c r="L13" s="51" t="n">
        <x:f>IFERROR(K13/J13,0)</x:f>
        <x:v>1</x:v>
      </x:c>
      <x:c r="M13" s="26" t="str">
        <x:v>Trang Application Submitted; under Admin review
Positive OTP; negative/expired chưa test mới</x:v>
      </x:c>
      <x:c r="N13" s="26" t="str">
        <x:v>SPARK-181 (provisional PR9 mapping; verify scope)</x:v>
      </x:c>
      <x:c r="O13" s="26" t="str">
        <x:v>05e2976d (short SHA, source-reported)</x:v>
      </x:c>
      <x:c r="P13" s="26" t="str">
        <x:v>EV-E2E-03 · PR9_QA_Traceability_Final.xlsx TEST_CASES; screenshot index in PR9_QA_Final_Report.docx</x:v>
      </x:c>
      <x:c r="Q13" s="26" t="str">
        <x:v>UserService origin / FE owner-onboarding / Admin auth (UI evidence)</x:v>
      </x:c>
    </x:row>
    <x:row r="14" ht="57" customHeight="1">
      <x:c r="B14" s="52" t="str">
        <x:v>[PR9-E2E-05]</x:v>
      </x:c>
      <x:c r="C14" s="26" t="str">
        <x:v>E2E / Admin pending</x:v>
      </x:c>
      <x:c r="D14" s="26" t="str">
        <x:v>Owner Partnership Applications &gt; Refresh</x:v>
      </x:c>
      <x:c r="E14" s="26" t="str">
        <x:v>Hồ sơ verified xuất hiện Pending</x:v>
      </x:c>
      <x:c r="F14" s="26" t="str">
        <x:v>Admin QA signed in</x:v>
      </x:c>
      <x:c r="G14" s="26" t="str">
        <x:v>Pass</x:v>
      </x:c>
      <x:c r="H14" s="26" t="str">
        <x:v>2026-10-22</x:v>
      </x:c>
      <x:c r="I14" s="26" t="str">
        <x:v>QA Tester</x:v>
      </x:c>
      <x:c r="J14" s="26" t="n">
        <x:v>1</x:v>
      </x:c>
      <x:c r="K14" s="26" t="n">
        <x:f>IF(G14="Pass",1,0)</x:f>
        <x:v>1</x:v>
      </x:c>
      <x:c r="L14" s="51" t="n">
        <x:f>IFERROR(K14/J14,0)</x:f>
        <x:v>1</x:v>
      </x:c>
      <x:c r="M14" s="26" t="str">
        <x:v>Pending Review (1); contact Verified, lot chính xác
Không duyệt hồ sơ khác</x:v>
      </x:c>
      <x:c r="N14" s="26" t="str">
        <x:v>SPARK-197 (provisional PR9 mapping; verify scope)</x:v>
      </x:c>
      <x:c r="O14" s="26" t="str">
        <x:v>05e2976d (short SHA, source-reported)</x:v>
      </x:c>
      <x:c r="P14" s="26" t="str">
        <x:v>EV-E2E-04 · PR9_QA_Traceability_Final.xlsx TEST_CASES; screenshot index in PR9_QA_Final_Report.docx</x:v>
      </x:c>
      <x:c r="Q14" s="26" t="str">
        <x:v>UserService origin / FE owner-onboarding / Admin auth (UI evidence)</x:v>
      </x:c>
    </x:row>
    <x:row r="15" ht="57" customHeight="1">
      <x:c r="B15" s="52" t="str">
        <x:v>[PR9-E2E-06]</x:v>
      </x:c>
      <x:c r="C15" s="26" t="str">
        <x:v>E2E / Approve</x:v>
      </x:c>
      <x:c r="D15" s="26" t="str">
        <x:v>Nhập review note QA; click Approve một lần</x:v>
      </x:c>
      <x:c r="E15" s="26" t="str">
        <x:v>Owner chuyển APPROVED</x:v>
      </x:c>
      <x:c r="F15" s="26" t="str">
        <x:v>Hồ sơ QA đang Pending Review</x:v>
      </x:c>
      <x:c r="G15" s="26" t="str">
        <x:v>Pass</x:v>
      </x:c>
      <x:c r="H15" s="26" t="str">
        <x:v>2026-10-22</x:v>
      </x:c>
      <x:c r="I15" s="26" t="str">
        <x:v>QA Tester</x:v>
      </x:c>
      <x:c r="J15" s="26" t="n">
        <x:v>1</x:v>
      </x:c>
      <x:c r="K15" s="26" t="n">
        <x:f>IF(G15="Pass",1,0)</x:f>
        <x:v>1</x:v>
      </x:c>
      <x:c r="L15" s="51" t="n">
        <x:f>IFERROR(K15/J15,0)</x:f>
        <x:v>1</x:v>
      </x:c>
      <x:c r="M15" s="26" t="str">
        <x:v>Mục Previously Reviewed hiển thị APPROVED
Không lặp thao tác; approval 1 lần</x:v>
      </x:c>
      <x:c r="N15" s="26" t="str">
        <x:v>SPARK-197 (provisional PR9 mapping; verify scope)</x:v>
      </x:c>
      <x:c r="O15" s="26" t="str">
        <x:v>05e2976d (short SHA, source-reported)</x:v>
      </x:c>
      <x:c r="P15" s="26" t="str">
        <x:v>EV-E2E-05 · PR9_QA_Traceability_Final.xlsx TEST_CASES; screenshot index in PR9_QA_Final_Report.docx</x:v>
      </x:c>
      <x:c r="Q15" s="26" t="str">
        <x:v>UserService origin / FE owner-onboarding / Admin auth (UI evidence)</x:v>
      </x:c>
    </x:row>
    <x:row r="16" ht="57" customHeight="1">
      <x:c r="B16" s="52" t="str">
        <x:v>[PR9-E2E-07]</x:v>
      </x:c>
      <x:c r="C16" s="26" t="str">
        <x:v>E2E / Workflow delivery</x:v>
      </x:c>
      <x:c r="D16" s="26" t="str">
        <x:v>Refresh Admin applications; xem Notification status</x:v>
      </x:c>
      <x:c r="E16" s="26" t="str">
        <x:v>Pending → Sent</x:v>
      </x:c>
      <x:c r="F16" s="26" t="str">
        <x:v>Owner approved; UserService background worker chạy</x:v>
      </x:c>
      <x:c r="G16" s="26" t="str">
        <x:v>Pass</x:v>
      </x:c>
      <x:c r="H16" s="26" t="str">
        <x:v>2026-10-22</x:v>
      </x:c>
      <x:c r="I16" s="26" t="str">
        <x:v>QA Tester</x:v>
      </x:c>
      <x:c r="J16" s="26" t="n">
        <x:v>1</x:v>
      </x:c>
      <x:c r="K16" s="26" t="n">
        <x:f>IF(G16="Pass",1,0)</x:f>
        <x:v>1</x:v>
      </x:c>
      <x:c r="L16" s="51" t="n">
        <x:f>IFERROR(K16/J16,0)</x:f>
        <x:v>1</x:v>
      </x:c>
      <x:c r="M16" s="26" t="str">
        <x:v>Dòng hồ sơ mới từ pending chuyển sent
Status lưu của workflow; cần email nhận để chốt</x:v>
      </x:c>
      <x:c r="N16" s="26" t="str">
        <x:v>SPARK-197 (provisional PR9 mapping; verify scope)</x:v>
      </x:c>
      <x:c r="O16" s="26" t="str">
        <x:v>05e2976d (short SHA, source-reported)</x:v>
      </x:c>
      <x:c r="P16" s="26" t="str">
        <x:v>EV-E2E-05 · PR9_QA_Traceability_Final.xlsx TEST_CASES; screenshot index in PR9_QA_Final_Report.docx</x:v>
      </x:c>
      <x:c r="Q16" s="26" t="str">
        <x:v>UserService origin / FE owner-onboarding / Admin auth (UI evidence)</x:v>
      </x:c>
    </x:row>
    <x:row r="17" ht="57" customHeight="1">
      <x:c r="B17" s="52" t="str">
        <x:v>[PR9-E2E-08]</x:v>
      </x:c>
      <x:c r="C17" s="26" t="str">
        <x:v>E2E / Approval email</x:v>
      </x:c>
      <x:c r="D17" s="26" t="str">
        <x:v>Kiểm tra Gmail nhận</x:v>
      </x:c>
      <x:c r="E17" s="26" t="str">
        <x:v>Nhận email kết quả APPROVED</x:v>
      </x:c>
      <x:c r="F17" s="26" t="str">
        <x:v>Notification sent; người nhận có Inbox</x:v>
      </x:c>
      <x:c r="G17" s="26" t="str">
        <x:v>Pass</x:v>
      </x:c>
      <x:c r="H17" s="26" t="str">
        <x:v>2026-10-22</x:v>
      </x:c>
      <x:c r="I17" s="26" t="str">
        <x:v>QA Tester</x:v>
      </x:c>
      <x:c r="J17" s="26" t="n">
        <x:v>1</x:v>
      </x:c>
      <x:c r="K17" s="26" t="n">
        <x:f>IF(G17="Pass",1,0)</x:f>
        <x:v>1</x:v>
      </x:c>
      <x:c r="L17" s="51" t="n">
        <x:f>IFERROR(K17/J17,0)</x:f>
        <x:v>1</x:v>
      </x:c>
      <x:c r="M17" s="26" t="str">
        <x:v>SmartPark application decision 17:33; 'Your application is approved.'
Delivery tới Inbox xác minh bằng ảnh</x:v>
      </x:c>
      <x:c r="N17" s="26" t="str">
        <x:v>SPARK-197 (provisional PR9 mapping; verify scope)</x:v>
      </x:c>
      <x:c r="O17" s="26" t="str">
        <x:v>05e2976d (short SHA, source-reported)</x:v>
      </x:c>
      <x:c r="P17" s="26" t="str">
        <x:v>EV-E2E-06 · PR9_QA_Traceability_Final.xlsx TEST_CASES; screenshot index in PR9_QA_Final_Report.docx</x:v>
      </x:c>
      <x:c r="Q17" s="26" t="str">
        <x:v>UserService origin / FE owner-onboarding / Admin auth (UI evidence)</x:v>
      </x:c>
    </x:row>
    <x:row r="18" ht="57" customHeight="1">
      <x:c r="B18" s="52" t="str">
        <x:v>[PR9-E2E-09]</x:v>
      </x:c>
      <x:c r="C18" s="26" t="str">
        <x:v>E2E / Owner sign-in</x:v>
      </x:c>
      <x:c r="D18" s="26" t="str">
        <x:v>Sign In bằng account QA</x:v>
      </x:c>
      <x:c r="E18" s="26" t="str">
        <x:v>Cho truy cập Owner Dashboard</x:v>
      </x:c>
      <x:c r="F18" s="26" t="str">
        <x:v>Owner QA mới APPROVED</x:v>
      </x:c>
      <x:c r="G18" s="26" t="str">
        <x:v>Pass</x:v>
      </x:c>
      <x:c r="H18" s="26" t="str">
        <x:v>2026-10-22</x:v>
      </x:c>
      <x:c r="I18" s="26" t="str">
        <x:v>QA Tester</x:v>
      </x:c>
      <x:c r="J18" s="26" t="n">
        <x:v>1</x:v>
      </x:c>
      <x:c r="K18" s="26" t="n">
        <x:f>IF(G18="Pass",1,0)</x:f>
        <x:v>1</x:v>
      </x:c>
      <x:c r="L18" s="51" t="n">
        <x:f>IFERROR(K18/J18,0)</x:f>
        <x:v>1</x:v>
      </x:c>
      <x:c r="M18" s="26" t="str">
        <x:v>Owner Overview hiển thị tài khoản QA
Không công bố mật khẩu</x:v>
      </x:c>
      <x:c r="N18" s="26" t="str">
        <x:v>SPARK-181 (provisional PR9 mapping; verify scope)</x:v>
      </x:c>
      <x:c r="O18" s="26" t="str">
        <x:v>05e2976d (short SHA, source-reported)</x:v>
      </x:c>
      <x:c r="P18" s="26" t="str">
        <x:v>EV-E2E-07 · PR9_QA_Traceability_Final.xlsx TEST_CASES; screenshot index in PR9_QA_Final_Report.docx</x:v>
      </x:c>
      <x:c r="Q18" s="26" t="str">
        <x:v>UserService origin / FE owner-onboarding / Admin auth (UI evidence)</x:v>
      </x:c>
    </x:row>
    <x:row r="19" ht="57" customHeight="1">
      <x:c r="B19" s="52" t="str">
        <x:v>[PR9-E2E-10]</x:v>
      </x:c>
      <x:c r="C19" s="26" t="str">
        <x:v>E2E / Assigned site</x:v>
      </x:c>
      <x:c r="D19" s="26" t="str">
        <x:v>Mở Site filter, chọn PR9 QA SMTP Test Lot</x:v>
      </x:c>
      <x:c r="E19" s="26" t="str">
        <x:v>Chỉ site của Owner được hiển thị</x:v>
      </x:c>
      <x:c r="F19" s="26" t="str">
        <x:v>Owner đã đăng nhập</x:v>
      </x:c>
      <x:c r="G19" s="26" t="str">
        <x:v>Pass</x:v>
      </x:c>
      <x:c r="H19" s="26" t="str">
        <x:v>2026-10-22</x:v>
      </x:c>
      <x:c r="I19" s="26" t="str">
        <x:v>QA Tester</x:v>
      </x:c>
      <x:c r="J19" s="26" t="n">
        <x:v>1</x:v>
      </x:c>
      <x:c r="K19" s="26" t="n">
        <x:f>IF(G19="Pass",1,0)</x:f>
        <x:v>1</x:v>
      </x:c>
      <x:c r="L19" s="51" t="n">
        <x:f>IFERROR(K19/J19,0)</x:f>
        <x:v>1</x:v>
      </x:c>
      <x:c r="M19" s="26" t="str">
        <x:v>Filtered site view; site có trong dropdown
Capacity 0 phụ thuộc physical layout</x:v>
      </x:c>
      <x:c r="N19" s="26" t="str">
        <x:v>SPARK-181 (provisional PR9 mapping; verify scope)</x:v>
      </x:c>
      <x:c r="O19" s="26" t="str">
        <x:v>05e2976d (short SHA, source-reported)</x:v>
      </x:c>
      <x:c r="P19" s="26" t="str">
        <x:v>EV-E2E-08 · PR9_QA_Traceability_Final.xlsx TEST_CASES; screenshot index in PR9_QA_Final_Report.docx</x:v>
      </x:c>
      <x:c r="Q19" s="26" t="str">
        <x:v>UserService origin / FE owner-onboarding / Admin auth (UI evidence)</x:v>
      </x:c>
    </x:row>
  </x:sheetData>
  <x:mergeCells>
    <x:mergeCell ref="B1:Q1"/>
    <x:mergeCell ref="C4:Q4"/>
    <x:mergeCell ref="B8:Q8"/>
  </x:mergeCells>
  <x:conditionalFormatting sqref="G10:G19">
    <x:cfRule type="expression" dxfId="0" priority="1">
      <x:formula>G10="Fail"</x:formula>
    </x:cfRule>
    <x:cfRule type="expression" dxfId="1" priority="2">
      <x:formula>G10="Pass"</x:formula>
    </x:cfRule>
  </x:conditionalFormatting>
  <x:dataValidations count="1">
    <x:dataValidation type="list" sqref="G10:G19">
      <x:formula1>"Pass,Fail,Untested,Blocked,N/A"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22" hidden="0" customWidth="1"/>
    <x:col min="3" max="3" width="28" hidden="0" customWidth="1"/>
    <x:col min="4" max="4" width="40" hidden="0" customWidth="1"/>
    <x:col min="5" max="5" width="35" hidden="0" customWidth="1"/>
    <x:col min="6" max="6" width="27" hidden="0" customWidth="1"/>
    <x:col min="7" max="7" width="15" hidden="0" customWidth="1"/>
    <x:col min="8" max="8" width="15" hidden="0" customWidth="1"/>
    <x:col min="9" max="9" width="13" hidden="0" customWidth="1"/>
    <x:col min="10" max="10" width="14" hidden="0" customWidth="1"/>
    <x:col min="11" max="11" width="12" hidden="0" customWidth="1"/>
    <x:col min="12" max="12" width="14" hidden="0" customWidth="1"/>
    <x:col min="13" max="13" width="48" hidden="0" customWidth="1"/>
    <x:col min="14" max="14" width="25" hidden="0" customWidth="1"/>
    <x:col min="15" max="15" width="25" hidden="0" customWidth="1"/>
    <x:col min="16" max="16" width="48" hidden="0" customWidth="1"/>
    <x:col min="17" max="17" width="38" hidden="0" customWidth="1"/>
  </x:cols>
  <x:sheetData>
    <x:row r="1" ht="35" customHeight="1">
      <x:c r="B1" s="39" t="str">
        <x:v>SMART PARKING  |  PR9_Auth_UI</x:v>
      </x:c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</x:row>
    <x:row r="2">
      <x:c r="B2" s="41" t="str">
        <x:v>Module Code</x:v>
      </x:c>
      <x:c r="C2" t="str">
        <x:v>PR9_Auth_UI</x:v>
      </x:c>
    </x:row>
    <x:row r="3">
      <x:c r="B3" s="41" t="str">
        <x:v>Test requirement</x:v>
      </x:c>
      <x:c r="C3" t="str">
        <x:v>PR #9 · QA key TBD</x:v>
      </x:c>
    </x:row>
    <x:row r="4">
      <x:c r="B4" s="41" t="str">
        <x:v>Reference Document</x:v>
      </x:c>
      <x:c r="C4" s="44" t="str">
        <x:v>7 independent UI checks (admin/owner authentication, sign-up UI and validation); no backend token revocation inferred.</x:v>
      </x:c>
      <x:c r="D4" s="44"/>
      <x:c r="E4" s="44"/>
      <x:c r="F4" s="44"/>
      <x:c r="G4" s="44"/>
      <x:c r="H4" s="44"/>
      <x:c r="I4" s="44"/>
      <x:c r="J4" s="44"/>
      <x:c r="K4" s="44"/>
      <x:c r="L4" s="44"/>
      <x:c r="M4" s="44"/>
      <x:c r="N4" s="44"/>
      <x:c r="O4" s="44"/>
      <x:c r="P4" s="44"/>
      <x:c r="Q4" s="44"/>
    </x:row>
    <x:row r="5">
      <x:c r="B5" s="49" t="str">
        <x:v>% Passed of tests</x:v>
      </x:c>
      <x:c r="C5" s="49" t="str">
        <x:v>Pass</x:v>
      </x:c>
      <x:c r="D5" s="49" t="str">
        <x:v>Fail</x:v>
      </x:c>
      <x:c r="E5" s="49" t="str">
        <x:v>Untested</x:v>
      </x:c>
      <x:c r="F5" s="49" t="str">
        <x:v>N/A</x:v>
      </x:c>
      <x:c r="G5" s="49" t="str">
        <x:v>Number of test cases</x:v>
      </x:c>
      <x:c r="H5" s="49" t="str">
        <x:v>Blocked</x:v>
      </x:c>
    </x:row>
    <x:row r="6" ht="24" customHeight="1">
      <x:c r="B6" s="32" t="n">
        <x:f>IFERROR(C6/G6,0)</x:f>
        <x:v>1</x:v>
      </x:c>
      <x:c r="C6" t="n">
        <x:v>7</x:v>
      </x:c>
      <x:c r="D6" t="n">
        <x:v>0</x:v>
      </x:c>
      <x:c r="E6" t="n">
        <x:v>0</x:v>
      </x:c>
      <x:c r="F6" t="n">
        <x:v>0</x:v>
      </x:c>
      <x:c r="G6" t="n">
        <x:v>7</x:v>
      </x:c>
      <x:c r="H6" t="n">
        <x:v>0</x:v>
      </x:c>
    </x:row>
    <x:row r="8" ht="28" customHeight="1">
      <x:c r="B8" s="44" t="str">
        <x:v>Nguồn: tài liệu gốc trong Historical ZIP. Tổng hợp theo nhiều commit; không suy diễn kết quả ở HEAD mới.</x:v>
      </x:c>
      <x:c r="C8" s="44"/>
      <x:c r="D8" s="44"/>
      <x:c r="E8" s="44"/>
      <x:c r="F8" s="44"/>
      <x:c r="G8" s="44"/>
      <x:c r="H8" s="44"/>
      <x:c r="I8" s="44"/>
      <x:c r="J8" s="44"/>
      <x:c r="K8" s="44"/>
      <x:c r="L8" s="44"/>
      <x:c r="M8" s="44"/>
      <x:c r="N8" s="44"/>
      <x:c r="O8" s="44"/>
      <x:c r="P8" s="44"/>
      <x:c r="Q8" s="44"/>
    </x:row>
    <x:row r="9" ht="35" customHeight="1">
      <x:c r="B9" s="49" t="str">
        <x:v>ID</x:v>
      </x:c>
      <x:c r="C9" s="49" t="str">
        <x:v>Test Case Description</x:v>
      </x:c>
      <x:c r="D9" s="49" t="str">
        <x:v>Test Case Procedure</x:v>
      </x:c>
      <x:c r="E9" s="49" t="str">
        <x:v>Expected Results</x:v>
      </x:c>
      <x:c r="F9" s="49" t="str">
        <x:v>Inter-test case Dependence</x:v>
      </x:c>
      <x:c r="G9" s="49" t="str">
        <x:v>Result</x:v>
      </x:c>
      <x:c r="H9" s="49" t="str">
        <x:v>Test date</x:v>
      </x:c>
      <x:c r="I9" s="49" t="str">
        <x:v>Tester</x:v>
      </x:c>
      <x:c r="J9" s="49" t="str">
        <x:v>Number of tests</x:v>
      </x:c>
      <x:c r="K9" s="49" t="str">
        <x:v>Passed</x:v>
      </x:c>
      <x:c r="L9" s="49" t="str">
        <x:v>% Passed</x:v>
      </x:c>
      <x:c r="M9" s="49" t="str">
        <x:v>Note / Actual</x:v>
      </x:c>
      <x:c r="N9" s="49" t="str">
        <x:v>Testing Jira</x:v>
      </x:c>
      <x:c r="O9" s="49" t="str">
        <x:v>Baseline commit</x:v>
      </x:c>
      <x:c r="P9" s="49" t="str">
        <x:v>Evidence / source</x:v>
      </x:c>
      <x:c r="Q9" s="49" t="str">
        <x:v>Scenario type</x:v>
      </x:c>
    </x:row>
    <x:row r="10" ht="57" customHeight="1">
      <x:c r="B10" s="52" t="str">
        <x:v>[PR9-R22-04]</x:v>
      </x:c>
      <x:c r="C10" s="26" t="str">
        <x:v>Admin login</x:v>
      </x:c>
      <x:c r="D10" s="26" t="str">
        <x:v>Sign In Admin</x:v>
      </x:c>
      <x:c r="E10" s="26" t="str">
        <x:v>Authenticated admin UI</x:v>
      </x:c>
      <x:c r="F10" s="26" t="str">
        <x:v>Admin existing; FE 5173</x:v>
      </x:c>
      <x:c r="G10" s="26" t="str">
        <x:v>Pass</x:v>
      </x:c>
      <x:c r="H10" s="26" t="str">
        <x:v>2026-10-22</x:v>
      </x:c>
      <x:c r="I10" s="26" t="str">
        <x:v>QA Tester</x:v>
      </x:c>
      <x:c r="J10" s="26" t="n">
        <x:v>1</x:v>
      </x:c>
      <x:c r="K10" s="26" t="n">
        <x:f>IF(G10="Pass",1,0)</x:f>
        <x:v>1</x:v>
      </x:c>
      <x:c r="L10" s="51" t="n">
        <x:f>IFERROR(K10/J10,0)</x:f>
        <x:v>1</x:v>
      </x:c>
      <x:c r="M10" s="26" t="str">
        <x:v>Admin role menu and Applications visible
Không lặp đăng ký tài khoản</x:v>
      </x:c>
      <x:c r="N10" s="26" t="str">
        <x:v>SPARK-197 (provisional PR9 mapping; verify scope)</x:v>
      </x:c>
      <x:c r="O10" s="26" t="str">
        <x:v>05e2976d (short SHA, source-reported)</x:v>
      </x:c>
      <x:c r="P10" s="26" t="str">
        <x:v>EV-ADMIN-01 · PR9_QA_Traceability_Final.xlsx TEST_CASES; screenshot index in PR9_QA_Final_Report.docx</x:v>
      </x:c>
      <x:c r="Q10" s="26" t="str">
        <x:v>UserService origin / FE owner-onboarding / Admin auth (UI evidence)</x:v>
      </x:c>
    </x:row>
    <x:row r="11" ht="57" customHeight="1">
      <x:c r="B11" s="52" t="str">
        <x:v>[PR9-R22-05]</x:v>
      </x:c>
      <x:c r="C11" s="26" t="str">
        <x:v>Approval display</x:v>
      </x:c>
      <x:c r="D11" s="26" t="str">
        <x:v>Admin &gt; Owner Partnership Applications</x:v>
      </x:c>
      <x:c r="E11" s="26" t="str">
        <x:v>Existing APPROVED owner visible</x:v>
      </x:c>
      <x:c r="F11" s="26" t="str">
        <x:v>Owner đã được approve trong dữ liệu cũ</x:v>
      </x:c>
      <x:c r="G11" s="26" t="str">
        <x:v>Pass</x:v>
      </x:c>
      <x:c r="H11" s="26" t="str">
        <x:v>2026-10-22</x:v>
      </x:c>
      <x:c r="I11" s="26" t="str">
        <x:v>QA Tester</x:v>
      </x:c>
      <x:c r="J11" s="26" t="n">
        <x:v>1</x:v>
      </x:c>
      <x:c r="K11" s="26" t="n">
        <x:f>IF(G11="Pass",1,0)</x:f>
        <x:v>1</x:v>
      </x:c>
      <x:c r="L11" s="51" t="n">
        <x:f>IFERROR(K11/J11,0)</x:f>
        <x:v>1</x:v>
      </x:c>
      <x:c r="M11" s="26" t="str">
        <x:v>QA Test Parking APPROVED / notification sent
Display of persisted mock-send; not Gmail evidence</x:v>
      </x:c>
      <x:c r="N11" s="26" t="str">
        <x:v>SPARK-197 (provisional PR9 mapping; verify scope)</x:v>
      </x:c>
      <x:c r="O11" s="26" t="str">
        <x:v>05e2976d (short SHA, source-reported)</x:v>
      </x:c>
      <x:c r="P11" s="26" t="str">
        <x:v>EV-ADMIN-OLD · PR9_QA_Traceability_Final.xlsx TEST_CASES; screenshot index in PR9_QA_Final_Report.docx</x:v>
      </x:c>
      <x:c r="Q11" s="26" t="str">
        <x:v>UserService origin / FE owner-onboarding / Admin auth (UI evidence)</x:v>
      </x:c>
    </x:row>
    <x:row r="12" ht="57" customHeight="1">
      <x:c r="B12" s="52" t="str">
        <x:v>[PR9-R22-06]</x:v>
      </x:c>
      <x:c r="C12" s="26" t="str">
        <x:v>Owner login</x:v>
      </x:c>
      <x:c r="D12" s="26" t="str">
        <x:v>Sign In Owner</x:v>
      </x:c>
      <x:c r="E12" s="26" t="str">
        <x:v>Owner role access</x:v>
      </x:c>
      <x:c r="F12" s="26" t="str">
        <x:v>Owner QA Tester existing</x:v>
      </x:c>
      <x:c r="G12" s="26" t="str">
        <x:v>Pass</x:v>
      </x:c>
      <x:c r="H12" s="26" t="str">
        <x:v>2026-10-22</x:v>
      </x:c>
      <x:c r="I12" s="26" t="str">
        <x:v>QA Tester</x:v>
      </x:c>
      <x:c r="J12" s="26" t="n">
        <x:v>1</x:v>
      </x:c>
      <x:c r="K12" s="26" t="n">
        <x:f>IF(G12="Pass",1,0)</x:f>
        <x:v>1</x:v>
      </x:c>
      <x:c r="L12" s="51" t="n">
        <x:f>IFERROR(K12/J12,0)</x:f>
        <x:v>1</x:v>
      </x:c>
      <x:c r="M12" s="26" t="str">
        <x:v>Owner authenticated / QA Tester displayed
-</x:v>
      </x:c>
      <x:c r="N12" s="26" t="str">
        <x:v>SPARK-181 (provisional PR9 mapping; verify scope)</x:v>
      </x:c>
      <x:c r="O12" s="26" t="str">
        <x:v>05e2976d (short SHA, source-reported)</x:v>
      </x:c>
      <x:c r="P12" s="26" t="str">
        <x:v>EV-OWNER-OLD · PR9_QA_Traceability_Final.xlsx TEST_CASES; screenshot index in PR9_QA_Final_Report.docx</x:v>
      </x:c>
      <x:c r="Q12" s="26" t="str">
        <x:v>UserService origin / FE owner-onboarding / Admin auth (UI evidence)</x:v>
      </x:c>
    </x:row>
    <x:row r="13" ht="57" customHeight="1">
      <x:c r="B13" s="52" t="str">
        <x:v>[PR9-R22-09]</x:v>
      </x:c>
      <x:c r="C13" s="26" t="str">
        <x:v>Driver Signup UI</x:v>
      </x:c>
      <x:c r="D13" s="26" t="str">
        <x:v>Sign Up &gt; Driver</x:v>
      </x:c>
      <x:c r="E13" s="26" t="str">
        <x:v>Fields rendered</x:v>
      </x:c>
      <x:c r="F13" s="26" t="str">
        <x:v>Incognito, unauthenticated</x:v>
      </x:c>
      <x:c r="G13" s="26" t="str">
        <x:v>Pass</x:v>
      </x:c>
      <x:c r="H13" s="26" t="str">
        <x:v>2026-10-22</x:v>
      </x:c>
      <x:c r="I13" s="26" t="str">
        <x:v>QA Tester</x:v>
      </x:c>
      <x:c r="J13" s="26" t="n">
        <x:v>1</x:v>
      </x:c>
      <x:c r="K13" s="26" t="n">
        <x:f>IF(G13="Pass",1,0)</x:f>
        <x:v>1</x:v>
      </x:c>
      <x:c r="L13" s="51" t="n">
        <x:f>IFERROR(K13/J13,0)</x:f>
        <x:v>1</x:v>
      </x:c>
      <x:c r="M13" s="26" t="str">
        <x:v>Driver form shown with contact/password fields
UI only</x:v>
      </x:c>
      <x:c r="N13" s="26" t="str">
        <x:v>SPARK-181 (provisional PR9 mapping; verify scope)</x:v>
      </x:c>
      <x:c r="O13" s="26" t="str">
        <x:v>05e2976d (short SHA, source-reported)</x:v>
      </x:c>
      <x:c r="P13" s="26" t="str">
        <x:v>EV-UI-OLD · PR9_QA_Traceability_Final.xlsx TEST_CASES; screenshot index in PR9_QA_Final_Report.docx</x:v>
      </x:c>
      <x:c r="Q13" s="26" t="str">
        <x:v>UserService origin / FE owner-onboarding / Admin auth (UI evidence)</x:v>
      </x:c>
    </x:row>
    <x:row r="14" ht="57" customHeight="1">
      <x:c r="B14" s="52" t="str">
        <x:v>[PR9-R22-10]</x:v>
      </x:c>
      <x:c r="C14" s="26" t="str">
        <x:v>Business Signup UI</x:v>
      </x:c>
      <x:c r="D14" s="26" t="str">
        <x:v>Sign Up &gt; Business</x:v>
      </x:c>
      <x:c r="E14" s="26" t="str">
        <x:v>Business fields rendered</x:v>
      </x:c>
      <x:c r="F14" s="26" t="str">
        <x:v>Incognito, unauthenticated</x:v>
      </x:c>
      <x:c r="G14" s="26" t="str">
        <x:v>Pass</x:v>
      </x:c>
      <x:c r="H14" s="26" t="str">
        <x:v>2026-10-22</x:v>
      </x:c>
      <x:c r="I14" s="26" t="str">
        <x:v>QA Tester</x:v>
      </x:c>
      <x:c r="J14" s="26" t="n">
        <x:v>1</x:v>
      </x:c>
      <x:c r="K14" s="26" t="n">
        <x:f>IF(G14="Pass",1,0)</x:f>
        <x:v>1</x:v>
      </x:c>
      <x:c r="L14" s="51" t="n">
        <x:f>IFERROR(K14/J14,0)</x:f>
        <x:v>1</x:v>
      </x:c>
      <x:c r="M14" s="26" t="str">
        <x:v>Name, email, phone, lot type, password fields shown
UI only, did not submit</x:v>
      </x:c>
      <x:c r="N14" s="26" t="str">
        <x:v>SPARK-181 (provisional PR9 mapping; verify scope)</x:v>
      </x:c>
      <x:c r="O14" s="26" t="str">
        <x:v>05e2976d (short SHA, source-reported)</x:v>
      </x:c>
      <x:c r="P14" s="26" t="str">
        <x:v>EV-UI-OLD · PR9_QA_Traceability_Final.xlsx TEST_CASES; screenshot index in PR9_QA_Final_Report.docx</x:v>
      </x:c>
      <x:c r="Q14" s="26" t="str">
        <x:v>UserService origin / FE owner-onboarding / Admin auth (UI evidence)</x:v>
      </x:c>
    </x:row>
    <x:row r="15" ht="57" customHeight="1">
      <x:c r="B15" s="52" t="str">
        <x:v>[PR9-R22-11]</x:v>
      </x:c>
      <x:c r="C15" s="26" t="str">
        <x:v>Business empty-submit</x:v>
      </x:c>
      <x:c r="D15" s="26" t="str">
        <x:v>Click Continue to Parking Lot Setup</x:v>
      </x:c>
      <x:c r="E15" s="26" t="str">
        <x:v>Required field blocks progression</x:v>
      </x:c>
      <x:c r="F15" s="26" t="str">
        <x:v>Blank Business form</x:v>
      </x:c>
      <x:c r="G15" s="26" t="str">
        <x:v>Pass</x:v>
      </x:c>
      <x:c r="H15" s="26" t="str">
        <x:v>2026-10-22</x:v>
      </x:c>
      <x:c r="I15" s="26" t="str">
        <x:v>QA Tester</x:v>
      </x:c>
      <x:c r="J15" s="26" t="n">
        <x:v>1</x:v>
      </x:c>
      <x:c r="K15" s="26" t="n">
        <x:f>IF(G15="Pass",1,0)</x:f>
        <x:v>1</x:v>
      </x:c>
      <x:c r="L15" s="51" t="n">
        <x:f>IFERROR(K15/J15,0)</x:f>
        <x:v>1</x:v>
      </x:c>
      <x:c r="M15" s="26" t="str">
        <x:v>Browser prompt: Vui lòng điền vào trường này
Client HTML5 only; no backend submission</x:v>
      </x:c>
      <x:c r="N15" s="26" t="str">
        <x:v>SPARK-181 (provisional PR9 mapping; verify scope)</x:v>
      </x:c>
      <x:c r="O15" s="26" t="str">
        <x:v>05e2976d (short SHA, source-reported)</x:v>
      </x:c>
      <x:c r="P15" s="26" t="str">
        <x:v>EV-UI-OLD · PR9_QA_Traceability_Final.xlsx TEST_CASES; screenshot index in PR9_QA_Final_Report.docx</x:v>
      </x:c>
      <x:c r="Q15" s="26" t="str">
        <x:v>UserService origin / FE owner-onboarding / Admin auth (UI evidence)</x:v>
      </x:c>
    </x:row>
    <x:row r="16" ht="57" customHeight="1">
      <x:c r="B16" s="52" t="str">
        <x:v>[PR9-R22-12]</x:v>
      </x:c>
      <x:c r="C16" s="26" t="str">
        <x:v>Owner logout</x:v>
      </x:c>
      <x:c r="D16" s="26" t="str">
        <x:v>Logout; browser Back; hard refresh</x:v>
      </x:c>
      <x:c r="E16" s="26" t="str">
        <x:v>Private dashboard not shown</x:v>
      </x:c>
      <x:c r="F16" s="26" t="str">
        <x:v>Owner logged in</x:v>
      </x:c>
      <x:c r="G16" s="26" t="str">
        <x:v>Pass</x:v>
      </x:c>
      <x:c r="H16" s="26" t="str">
        <x:v>2026-10-22</x:v>
      </x:c>
      <x:c r="I16" s="26" t="str">
        <x:v>QA Tester</x:v>
      </x:c>
      <x:c r="J16" s="26" t="n">
        <x:v>1</x:v>
      </x:c>
      <x:c r="K16" s="26" t="n">
        <x:f>IF(G16="Pass",1,0)</x:f>
        <x:v>1</x:v>
      </x:c>
      <x:c r="L16" s="51" t="n">
        <x:f>IFERROR(K16/J16,0)</x:f>
        <x:v>1</x:v>
      </x:c>
      <x:c r="M16" s="26" t="str">
        <x:v>Public Home with Sign In / Sign Up
Source result: PASS LIMITED (UI-scope only). UI session only</x:v>
      </x:c>
      <x:c r="N16" s="26" t="str">
        <x:v>SPARK-177 (provisional PR9 mapping; verify scope)</x:v>
      </x:c>
      <x:c r="O16" s="26" t="str">
        <x:v>05e2976d (short SHA, source-reported)</x:v>
      </x:c>
      <x:c r="P16" s="26" t="str">
        <x:v>EV-LOGOUT-OLD · PR9_QA_Traceability_Final.xlsx TEST_CASES; screenshot index in PR9_QA_Final_Report.docx</x:v>
      </x:c>
      <x:c r="Q16" s="26" t="str">
        <x:v>UserService origin / FE owner-onboarding / Admin auth (UI evidence)</x:v>
      </x:c>
    </x:row>
  </x:sheetData>
  <x:mergeCells>
    <x:mergeCell ref="B1:Q1"/>
    <x:mergeCell ref="C4:Q4"/>
    <x:mergeCell ref="B8:Q8"/>
  </x:mergeCells>
  <x:conditionalFormatting sqref="G10:G16">
    <x:cfRule type="expression" dxfId="2" priority="1">
      <x:formula>G10="Fail"</x:formula>
    </x:cfRule>
    <x:cfRule type="expression" dxfId="3" priority="2">
      <x:formula>G10="Pass"</x:formula>
    </x:cfRule>
  </x:conditionalFormatting>
  <x:dataValidations count="1">
    <x:dataValidation type="list" sqref="G10:G16">
      <x:formula1>"Pass,Fail,Untested,Blocked,N/A"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22" hidden="0" customWidth="1"/>
    <x:col min="3" max="3" width="28" hidden="0" customWidth="1"/>
    <x:col min="4" max="4" width="40" hidden="0" customWidth="1"/>
    <x:col min="5" max="5" width="35" hidden="0" customWidth="1"/>
    <x:col min="6" max="6" width="27" hidden="0" customWidth="1"/>
    <x:col min="7" max="7" width="15" hidden="0" customWidth="1"/>
    <x:col min="8" max="8" width="15" hidden="0" customWidth="1"/>
    <x:col min="9" max="9" width="13" hidden="0" customWidth="1"/>
    <x:col min="10" max="10" width="14" hidden="0" customWidth="1"/>
    <x:col min="11" max="11" width="12" hidden="0" customWidth="1"/>
    <x:col min="12" max="12" width="14" hidden="0" customWidth="1"/>
    <x:col min="13" max="13" width="48" hidden="0" customWidth="1"/>
    <x:col min="14" max="14" width="25" hidden="0" customWidth="1"/>
    <x:col min="15" max="15" width="25" hidden="0" customWidth="1"/>
    <x:col min="16" max="16" width="48" hidden="0" customWidth="1"/>
    <x:col min="17" max="17" width="38" hidden="0" customWidth="1"/>
  </x:cols>
  <x:sheetData>
    <x:row r="1" ht="35" customHeight="1">
      <x:c r="B1" s="39" t="str">
        <x:v>SMART PARKING  |  SP177_Planned_QA</x:v>
      </x:c>
      <x:c r="C1" s="39"/>
      <x:c r="D1" s="39"/>
      <x:c r="E1" s="39"/>
      <x:c r="F1" s="39"/>
      <x:c r="G1" s="39"/>
      <x:c r="H1" s="39"/>
      <x:c r="I1" s="39"/>
      <x:c r="J1" s="39"/>
      <x:c r="K1" s="39"/>
      <x:c r="L1" s="39"/>
      <x:c r="M1" s="39"/>
      <x:c r="N1" s="39"/>
      <x:c r="O1" s="39"/>
      <x:c r="P1" s="39"/>
      <x:c r="Q1" s="39"/>
    </x:row>
    <x:row r="2">
      <x:c r="B2" s="41" t="str">
        <x:v>Module Code</x:v>
      </x:c>
      <x:c r="C2" t="str">
        <x:v>SP177_Planned_QA</x:v>
      </x:c>
    </x:row>
    <x:row r="3">
      <x:c r="B3" s="41" t="str">
        <x:v>Test requirement</x:v>
      </x:c>
      <x:c r="C3" t="str">
        <x:v>SPARK-177 (Testing task)</x:v>
      </x:c>
    </x:row>
    <x:row r="4">
      <x:c r="B4" s="41" t="str">
        <x:v>Reference Document</x:v>
      </x:c>
      <x:c r="C4" s="44" t="str">
        <x:v>15 planned QA scenarios, none executed in source gap matrix; expected results may need SRS/BA approval.</x:v>
      </x:c>
      <x:c r="D4" s="44"/>
      <x:c r="E4" s="44"/>
      <x:c r="F4" s="44"/>
      <x:c r="G4" s="44"/>
      <x:c r="H4" s="44"/>
      <x:c r="I4" s="44"/>
      <x:c r="J4" s="44"/>
      <x:c r="K4" s="44"/>
      <x:c r="L4" s="44"/>
      <x:c r="M4" s="44"/>
      <x:c r="N4" s="44"/>
      <x:c r="O4" s="44"/>
      <x:c r="P4" s="44"/>
      <x:c r="Q4" s="44"/>
    </x:row>
    <x:row r="5">
      <x:c r="B5" s="49" t="str">
        <x:v>% Passed of tests</x:v>
      </x:c>
      <x:c r="C5" s="49" t="str">
        <x:v>Pass</x:v>
      </x:c>
      <x:c r="D5" s="49" t="str">
        <x:v>Fail</x:v>
      </x:c>
      <x:c r="E5" s="49" t="str">
        <x:v>Untested</x:v>
      </x:c>
      <x:c r="F5" s="49" t="str">
        <x:v>N/A</x:v>
      </x:c>
      <x:c r="G5" s="49" t="str">
        <x:v>Number of test cases</x:v>
      </x:c>
      <x:c r="H5" s="49" t="str">
        <x:v>Blocked</x:v>
      </x:c>
    </x:row>
    <x:row r="6" ht="24" customHeight="1">
      <x:c r="B6" s="32" t="n">
        <x:f>IFERROR(C6/G6,0)</x:f>
        <x:v>0</x:v>
      </x:c>
      <x:c r="C6" t="n">
        <x:v>0</x:v>
      </x:c>
      <x:c r="D6" t="n">
        <x:v>0</x:v>
      </x:c>
      <x:c r="E6" t="n">
        <x:v>15</x:v>
      </x:c>
      <x:c r="F6" t="n">
        <x:v>0</x:v>
      </x:c>
      <x:c r="G6" t="n">
        <x:v>15</x:v>
      </x:c>
      <x:c r="H6" t="n">
        <x:v>0</x:v>
      </x:c>
    </x:row>
    <x:row r="8" ht="28" customHeight="1">
      <x:c r="B8" s="44" t="str">
        <x:v>Nguồn: tài liệu gốc trong Historical ZIP. Tổng hợp theo nhiều commit; không suy diễn kết quả ở HEAD mới.</x:v>
      </x:c>
      <x:c r="C8" s="44"/>
      <x:c r="D8" s="44"/>
      <x:c r="E8" s="44"/>
      <x:c r="F8" s="44"/>
      <x:c r="G8" s="44"/>
      <x:c r="H8" s="44"/>
      <x:c r="I8" s="44"/>
      <x:c r="J8" s="44"/>
      <x:c r="K8" s="44"/>
      <x:c r="L8" s="44"/>
      <x:c r="M8" s="44"/>
      <x:c r="N8" s="44"/>
      <x:c r="O8" s="44"/>
      <x:c r="P8" s="44"/>
      <x:c r="Q8" s="44"/>
    </x:row>
    <x:row r="9" ht="35" customHeight="1">
      <x:c r="B9" s="49" t="str">
        <x:v>ID</x:v>
      </x:c>
      <x:c r="C9" s="49" t="str">
        <x:v>Test Case Description</x:v>
      </x:c>
      <x:c r="D9" s="49" t="str">
        <x:v>Test Case Procedure</x:v>
      </x:c>
      <x:c r="E9" s="49" t="str">
        <x:v>Expected Results</x:v>
      </x:c>
      <x:c r="F9" s="49" t="str">
        <x:v>Inter-test case Dependence</x:v>
      </x:c>
      <x:c r="G9" s="49" t="str">
        <x:v>Result</x:v>
      </x:c>
      <x:c r="H9" s="49" t="str">
        <x:v>Test date</x:v>
      </x:c>
      <x:c r="I9" s="49" t="str">
        <x:v>Tester</x:v>
      </x:c>
      <x:c r="J9" s="49" t="str">
        <x:v>Number of tests</x:v>
      </x:c>
      <x:c r="K9" s="49" t="str">
        <x:v>Passed</x:v>
      </x:c>
      <x:c r="L9" s="49" t="str">
        <x:v>% Passed</x:v>
      </x:c>
      <x:c r="M9" s="49" t="str">
        <x:v>Note / Actual</x:v>
      </x:c>
      <x:c r="N9" s="49" t="str">
        <x:v>Testing Jira</x:v>
      </x:c>
      <x:c r="O9" s="49" t="str">
        <x:v>Baseline commit</x:v>
      </x:c>
      <x:c r="P9" s="49" t="str">
        <x:v>Evidence / source</x:v>
      </x:c>
      <x:c r="Q9" s="49" t="str">
        <x:v>Scenario type</x:v>
      </x:c>
    </x:row>
    <x:row r="10" ht="57" customHeight="1">
      <x:c r="B10" s="52" t="str">
        <x:v>[SP177-OTP-001]</x:v>
      </x:c>
      <x:c r="C10" s="26" t="str">
        <x:v>OTP trước 5 phút</x:v>
      </x:c>
      <x:c r="D10" s="26" t="str">
        <x:v>Planned only (OTP); prerequisite: QA OTP enabled, controlled clock. Data: OTP từ test fixture; t &lt; 300s</x:v>
      </x:c>
      <x:c r="E10" s="26" t="str">
        <x:v>Chấp nhận/không theo quy tắc đã duyệt; log timestamp</x:v>
      </x:c>
      <x:c r="F10" s="26" t="str">
        <x:v>QA OTP enabled, controlled clock</x:v>
      </x:c>
      <x:c r="G10" s="26" t="str">
        <x:v>Untested</x:v>
      </x:c>
      <x:c r="H10" s="26" t="str"/>
      <x:c r="I10" s="26" t="str">
        <x:v>QA Tester</x:v>
      </x:c>
      <x:c r="J10" s="26" t="n">
        <x:v>1</x:v>
      </x:c>
      <x:c r="K10" s="26" t="n">
        <x:f>IF(G10="Pass",1,0)</x:f>
        <x:v>0</x:v>
      </x:c>
      <x:c r="L10" s="51" t="n">
        <x:f>IFERROR(K10/J10,0)</x:f>
        <x:v>0</x:v>
      </x:c>
      <x:c r="M10" s="26" t="str">
        <x:v>NOT EXECUTED. Verify approved SRS/baseline before running.
Source status NOT EXECUTED. Do not carry over historical demo/Fix2FA PASS.</x:v>
      </x:c>
      <x:c r="N10" s="26" t="str">
        <x:v>SPARK-177</x:v>
      </x:c>
      <x:c r="O10" s="26" t="str">
        <x:v>NOT RUN / NO CURRENT SHA</x:v>
      </x:c>
      <x:c r="P10" s="26" t="str">
        <x:v>SPARK177_Acceptance_Gap_Matrix.xlsx!Test chua du bang chung</x:v>
      </x:c>
      <x:c r="Q10" s="26" t="str">
        <x:v>Auth/OTP · planned QA only</x:v>
      </x:c>
    </x:row>
    <x:row r="11" ht="57" customHeight="1">
      <x:c r="B11" s="52" t="str">
        <x:v>[SP177-OTP-002]</x:v>
      </x:c>
      <x:c r="C11" s="26" t="str">
        <x:v>OTP tại ngưỡng đúng 5 phút</x:v>
      </x:c>
      <x:c r="D11" s="26" t="str">
        <x:v>Planned only (OTP); prerequisite: QA OTP enabled, controlled clock. Data: t = 300s</x:v>
      </x:c>
      <x:c r="E11" s="26" t="str">
        <x:v>Ứng xử ranh giới theo quyết định 06/10, không tự mặc định</x:v>
      </x:c>
      <x:c r="F11" s="26" t="str">
        <x:v>QA OTP enabled, controlled clock</x:v>
      </x:c>
      <x:c r="G11" s="26" t="str">
        <x:v>Untested</x:v>
      </x:c>
      <x:c r="H11" s="26" t="str"/>
      <x:c r="I11" s="26" t="str">
        <x:v>QA Tester</x:v>
      </x:c>
      <x:c r="J11" s="26" t="n">
        <x:v>1</x:v>
      </x:c>
      <x:c r="K11" s="26" t="n">
        <x:f>IF(G11="Pass",1,0)</x:f>
        <x:v>0</x:v>
      </x:c>
      <x:c r="L11" s="51" t="n">
        <x:f>IFERROR(K11/J11,0)</x:f>
        <x:v>0</x:v>
      </x:c>
      <x:c r="M11" s="26" t="str">
        <x:v>NOT EXECUTED. Verify approved SRS/baseline before running.
Source status NOT EXECUTED. Do not carry over historical demo/Fix2FA PASS.</x:v>
      </x:c>
      <x:c r="N11" s="26" t="str">
        <x:v>SPARK-177</x:v>
      </x:c>
      <x:c r="O11" s="26" t="str">
        <x:v>NOT RUN / NO CURRENT SHA</x:v>
      </x:c>
      <x:c r="P11" s="26" t="str">
        <x:v>SPARK177_Acceptance_Gap_Matrix.xlsx!Test chua du bang chung</x:v>
      </x:c>
      <x:c r="Q11" s="26" t="str">
        <x:v>Auth/OTP · planned QA only</x:v>
      </x:c>
    </x:row>
    <x:row r="12" ht="57" customHeight="1">
      <x:c r="B12" s="52" t="str">
        <x:v>[SP177-OTP-003]</x:v>
      </x:c>
      <x:c r="C12" s="26" t="str">
        <x:v>OTP sau 5 phút</x:v>
      </x:c>
      <x:c r="D12" s="26" t="str">
        <x:v>Planned only (OTP); prerequisite: QA OTP enabled, controlled clock. Data: t &gt; 300s</x:v>
      </x:c>
      <x:c r="E12" s="26" t="str">
        <x:v>OTP hết hạn bị từ chối; status/code theo contract</x:v>
      </x:c>
      <x:c r="F12" s="26" t="str">
        <x:v>QA OTP enabled, controlled clock</x:v>
      </x:c>
      <x:c r="G12" s="26" t="str">
        <x:v>Untested</x:v>
      </x:c>
      <x:c r="H12" s="26" t="str"/>
      <x:c r="I12" s="26" t="str">
        <x:v>QA Tester</x:v>
      </x:c>
      <x:c r="J12" s="26" t="n">
        <x:v>1</x:v>
      </x:c>
      <x:c r="K12" s="26" t="n">
        <x:f>IF(G12="Pass",1,0)</x:f>
        <x:v>0</x:v>
      </x:c>
      <x:c r="L12" s="51" t="n">
        <x:f>IFERROR(K12/J12,0)</x:f>
        <x:v>0</x:v>
      </x:c>
      <x:c r="M12" s="26" t="str">
        <x:v>NOT EXECUTED. Verify approved SRS/baseline before running.
Source status NOT EXECUTED. Do not carry over historical demo/Fix2FA PASS.</x:v>
      </x:c>
      <x:c r="N12" s="26" t="str">
        <x:v>SPARK-177</x:v>
      </x:c>
      <x:c r="O12" s="26" t="str">
        <x:v>NOT RUN / NO CURRENT SHA</x:v>
      </x:c>
      <x:c r="P12" s="26" t="str">
        <x:v>SPARK177_Acceptance_Gap_Matrix.xlsx!Test chua du bang chung</x:v>
      </x:c>
      <x:c r="Q12" s="26" t="str">
        <x:v>Auth/OTP · planned QA only</x:v>
      </x:c>
    </x:row>
    <x:row r="13" ht="57" customHeight="1">
      <x:c r="B13" s="52" t="str">
        <x:v>[SP177-OTP-004]</x:v>
      </x:c>
      <x:c r="C13" s="26" t="str">
        <x:v>Lần xác thực OTP sai thứ 3</x:v>
      </x:c>
      <x:c r="D13" s="26" t="str">
        <x:v>Planned only (OTP); prerequisite: Tài khoản synthetic, clean attempts. Data: 3 lần sai OTP; thử dùng token trước trạng thái lock</x:v>
      </x:c>
      <x:c r="E13" s="26" t="str">
        <x:v>Khóa/xử lý theo BR-AUTH đã duyệt; chứng minh trạng thái và token</x:v>
      </x:c>
      <x:c r="F13" s="26" t="str">
        <x:v>Tài khoản synthetic, clean attempts</x:v>
      </x:c>
      <x:c r="G13" s="26" t="str">
        <x:v>Untested</x:v>
      </x:c>
      <x:c r="H13" s="26" t="str"/>
      <x:c r="I13" s="26" t="str">
        <x:v>QA Tester</x:v>
      </x:c>
      <x:c r="J13" s="26" t="n">
        <x:v>1</x:v>
      </x:c>
      <x:c r="K13" s="26" t="n">
        <x:f>IF(G13="Pass",1,0)</x:f>
        <x:v>0</x:v>
      </x:c>
      <x:c r="L13" s="51" t="n">
        <x:f>IFERROR(K13/J13,0)</x:f>
        <x:v>0</x:v>
      </x:c>
      <x:c r="M13" s="26" t="str">
        <x:v>NOT EXECUTED. Verify approved SRS/baseline before running.
Source status NOT EXECUTED. Do not carry over historical demo/Fix2FA PASS.</x:v>
      </x:c>
      <x:c r="N13" s="26" t="str">
        <x:v>SPARK-177</x:v>
      </x:c>
      <x:c r="O13" s="26" t="str">
        <x:v>NOT RUN / NO CURRENT SHA</x:v>
      </x:c>
      <x:c r="P13" s="26" t="str">
        <x:v>SPARK177_Acceptance_Gap_Matrix.xlsx!Test chua du bang chung</x:v>
      </x:c>
      <x:c r="Q13" s="26" t="str">
        <x:v>Auth/OTP · planned QA only</x:v>
      </x:c>
    </x:row>
    <x:row r="14" ht="57" customHeight="1">
      <x:c r="B14" s="52" t="str">
        <x:v>[SP177-OTP-005]</x:v>
      </x:c>
      <x:c r="C14" s="26" t="str">
        <x:v>Mở khóa sau 15 phút</x:v>
      </x:c>
      <x:c r="D14" s="26" t="str">
        <x:v>Planned only (OTP); prerequisite: Locked user by approved flow. Data: 14:59, 15:00, 15:01 kiểm thử ranh giới</x:v>
      </x:c>
      <x:c r="E14" s="26" t="str">
        <x:v>Chuyển trạng thái theo policy và chặn/gỡ chặn access đúng rule</x:v>
      </x:c>
      <x:c r="F14" s="26" t="str">
        <x:v>Locked user by approved flow</x:v>
      </x:c>
      <x:c r="G14" s="26" t="str">
        <x:v>Untested</x:v>
      </x:c>
      <x:c r="H14" s="26" t="str"/>
      <x:c r="I14" s="26" t="str">
        <x:v>QA Tester</x:v>
      </x:c>
      <x:c r="J14" s="26" t="n">
        <x:v>1</x:v>
      </x:c>
      <x:c r="K14" s="26" t="n">
        <x:f>IF(G14="Pass",1,0)</x:f>
        <x:v>0</x:v>
      </x:c>
      <x:c r="L14" s="51" t="n">
        <x:f>IFERROR(K14/J14,0)</x:f>
        <x:v>0</x:v>
      </x:c>
      <x:c r="M14" s="26" t="str">
        <x:v>NOT EXECUTED. Verify approved SRS/baseline before running.
Source status NOT EXECUTED. Do not carry over historical demo/Fix2FA PASS.</x:v>
      </x:c>
      <x:c r="N14" s="26" t="str">
        <x:v>SPARK-177</x:v>
      </x:c>
      <x:c r="O14" s="26" t="str">
        <x:v>NOT RUN / NO CURRENT SHA</x:v>
      </x:c>
      <x:c r="P14" s="26" t="str">
        <x:v>SPARK177_Acceptance_Gap_Matrix.xlsx!Test chua du bang chung</x:v>
      </x:c>
      <x:c r="Q14" s="26" t="str">
        <x:v>Auth/OTP · planned QA only</x:v>
      </x:c>
    </x:row>
    <x:row r="15" ht="57" customHeight="1">
      <x:c r="B15" s="52" t="str">
        <x:v>[SP177-JWT-001]</x:v>
      </x:c>
      <x:c r="C15" s="26" t="str">
        <x:v>Access token at/beyond expiry</x:v>
      </x:c>
      <x:c r="D15" s="26" t="str">
        <x:v>Planned only (Token); prerequisite: Issued token + controlled clock. Data: t exp-1, exp, exp+1</x:v>
      </x:c>
      <x:c r="E15" s="26" t="str">
        <x:v>Access kiểm soát theo JWT expiry và configured tolerance</x:v>
      </x:c>
      <x:c r="F15" s="26" t="str">
        <x:v>Issued token + controlled clock</x:v>
      </x:c>
      <x:c r="G15" s="26" t="str">
        <x:v>Untested</x:v>
      </x:c>
      <x:c r="H15" s="26" t="str"/>
      <x:c r="I15" s="26" t="str">
        <x:v>QA Tester</x:v>
      </x:c>
      <x:c r="J15" s="26" t="n">
        <x:v>1</x:v>
      </x:c>
      <x:c r="K15" s="26" t="n">
        <x:f>IF(G15="Pass",1,0)</x:f>
        <x:v>0</x:v>
      </x:c>
      <x:c r="L15" s="51" t="n">
        <x:f>IFERROR(K15/J15,0)</x:f>
        <x:v>0</x:v>
      </x:c>
      <x:c r="M15" s="26" t="str">
        <x:v>NOT EXECUTED. Verify approved SRS/baseline before running.
Source status NOT EXECUTED. Do not carry over historical demo/Fix2FA PASS.</x:v>
      </x:c>
      <x:c r="N15" s="26" t="str">
        <x:v>SPARK-177</x:v>
      </x:c>
      <x:c r="O15" s="26" t="str">
        <x:v>NOT RUN / NO CURRENT SHA</x:v>
      </x:c>
      <x:c r="P15" s="26" t="str">
        <x:v>SPARK177_Acceptance_Gap_Matrix.xlsx!Test chua du bang chung</x:v>
      </x:c>
      <x:c r="Q15" s="26" t="str">
        <x:v>Auth/Token · planned QA only</x:v>
      </x:c>
    </x:row>
    <x:row r="16" ht="57" customHeight="1">
      <x:c r="B16" s="52" t="str">
        <x:v>[SP177-REF-001]</x:v>
      </x:c>
      <x:c r="C16" s="26" t="str">
        <x:v>Refresh token hết hạn</x:v>
      </x:c>
      <x:c r="D16" s="26" t="str">
        <x:v>Planned only (Refresh); prerequisite: Issued refresh token; controlled clock. Data: t exp-1, exp, exp+1</x:v>
      </x:c>
      <x:c r="E16" s="26" t="str">
        <x:v>Refresh hết hạn phải bị từ chối theo approved contract</x:v>
      </x:c>
      <x:c r="F16" s="26" t="str">
        <x:v>Issued refresh token; controlled clock</x:v>
      </x:c>
      <x:c r="G16" s="26" t="str">
        <x:v>Untested</x:v>
      </x:c>
      <x:c r="H16" s="26" t="str"/>
      <x:c r="I16" s="26" t="str">
        <x:v>QA Tester</x:v>
      </x:c>
      <x:c r="J16" s="26" t="n">
        <x:v>1</x:v>
      </x:c>
      <x:c r="K16" s="26" t="n">
        <x:f>IF(G16="Pass",1,0)</x:f>
        <x:v>0</x:v>
      </x:c>
      <x:c r="L16" s="51" t="n">
        <x:f>IFERROR(K16/J16,0)</x:f>
        <x:v>0</x:v>
      </x:c>
      <x:c r="M16" s="26" t="str">
        <x:v>NOT EXECUTED. Verify approved SRS/baseline before running.
Source status NOT EXECUTED. Do not carry over historical demo/Fix2FA PASS.</x:v>
      </x:c>
      <x:c r="N16" s="26" t="str">
        <x:v>SPARK-177</x:v>
      </x:c>
      <x:c r="O16" s="26" t="str">
        <x:v>NOT RUN / NO CURRENT SHA</x:v>
      </x:c>
      <x:c r="P16" s="26" t="str">
        <x:v>SPARK177_Acceptance_Gap_Matrix.xlsx!Test chua du bang chung</x:v>
      </x:c>
      <x:c r="Q16" s="26" t="str">
        <x:v>Auth/Refresh · planned QA only</x:v>
      </x:c>
    </x:row>
    <x:row r="17" ht="57" customHeight="1">
      <x:c r="B17" s="52" t="str">
        <x:v>[SP177-REF-002]</x:v>
      </x:c>
      <x:c r="C17" s="26" t="str">
        <x:v>Refresh sau logout</x:v>
      </x:c>
      <x:c r="D17" s="26" t="str">
        <x:v>Planned only (Refresh); prerequisite: Login và giữ refresh trước logout. Data: Dynamic token từ response</x:v>
      </x:c>
      <x:c r="E17" s="26" t="str">
        <x:v>Refresh bị revoke theo approved auth policy</x:v>
      </x:c>
      <x:c r="F17" s="26" t="str">
        <x:v>Login và giữ refresh trước logout</x:v>
      </x:c>
      <x:c r="G17" s="26" t="str">
        <x:v>Untested</x:v>
      </x:c>
      <x:c r="H17" s="26" t="str"/>
      <x:c r="I17" s="26" t="str">
        <x:v>QA Tester</x:v>
      </x:c>
      <x:c r="J17" s="26" t="n">
        <x:v>1</x:v>
      </x:c>
      <x:c r="K17" s="26" t="n">
        <x:f>IF(G17="Pass",1,0)</x:f>
        <x:v>0</x:v>
      </x:c>
      <x:c r="L17" s="51" t="n">
        <x:f>IFERROR(K17/J17,0)</x:f>
        <x:v>0</x:v>
      </x:c>
      <x:c r="M17" s="26" t="str">
        <x:v>NOT EXECUTED. Verify approved SRS/baseline before running.
Source status NOT EXECUTED. Do not carry over historical demo/Fix2FA PASS.</x:v>
      </x:c>
      <x:c r="N17" s="26" t="str">
        <x:v>SPARK-177</x:v>
      </x:c>
      <x:c r="O17" s="26" t="str">
        <x:v>NOT RUN / NO CURRENT SHA</x:v>
      </x:c>
      <x:c r="P17" s="26" t="str">
        <x:v>SPARK177_Acceptance_Gap_Matrix.xlsx!Test chua du bang chung</x:v>
      </x:c>
      <x:c r="Q17" s="26" t="str">
        <x:v>Auth/Refresh · planned QA only</x:v>
      </x:c>
    </x:row>
    <x:row r="18" ht="57" customHeight="1">
      <x:c r="B18" s="52" t="str">
        <x:v>[SP177-REF-003]</x:v>
      </x:c>
      <x:c r="C18" s="26" t="str">
        <x:v>Logout + refresh đồng thời</x:v>
      </x:c>
      <x:c r="D18" s="26" t="str">
        <x:v>Planned only (Concurrency); prerequisite: Phiên synthetic active. Data: Hai request race với cùng session token</x:v>
      </x:c>
      <x:c r="E18" s="26" t="str">
        <x:v>Không còn session trái policy; ghi nhận thứ tự và outcome</x:v>
      </x:c>
      <x:c r="F18" s="26" t="str">
        <x:v>Phiên synthetic active</x:v>
      </x:c>
      <x:c r="G18" s="26" t="str">
        <x:v>Untested</x:v>
      </x:c>
      <x:c r="H18" s="26" t="str"/>
      <x:c r="I18" s="26" t="str">
        <x:v>QA Tester</x:v>
      </x:c>
      <x:c r="J18" s="26" t="n">
        <x:v>1</x:v>
      </x:c>
      <x:c r="K18" s="26" t="n">
        <x:f>IF(G18="Pass",1,0)</x:f>
        <x:v>0</x:v>
      </x:c>
      <x:c r="L18" s="51" t="n">
        <x:f>IFERROR(K18/J18,0)</x:f>
        <x:v>0</x:v>
      </x:c>
      <x:c r="M18" s="26" t="str">
        <x:v>NOT EXECUTED. Verify approved SRS/baseline before running.
Source status NOT EXECUTED. Do not carry over historical demo/Fix2FA PASS.</x:v>
      </x:c>
      <x:c r="N18" s="26" t="str">
        <x:v>SPARK-177</x:v>
      </x:c>
      <x:c r="O18" s="26" t="str">
        <x:v>NOT RUN / NO CURRENT SHA</x:v>
      </x:c>
      <x:c r="P18" s="26" t="str">
        <x:v>SPARK177_Acceptance_Gap_Matrix.xlsx!Test chua du bang chung</x:v>
      </x:c>
      <x:c r="Q18" s="26" t="str">
        <x:v>Auth/Concurrency · planned QA only</x:v>
      </x:c>
    </x:row>
    <x:row r="19" ht="57" customHeight="1">
      <x:c r="B19" s="52" t="str">
        <x:v>[SP177-JWT-002]</x:v>
      </x:c>
      <x:c r="C19" s="26" t="str">
        <x:v>JWT chữ ký bị thay đổi</x:v>
      </x:c>
      <x:c r="D19" s="26" t="str">
        <x:v>Planned only (Security); prerequisite: JWT hợp lệ có sẵn từ login. Data: Sửa chữ ký, giữ header/payload format</x:v>
      </x:c>
      <x:c r="E19" s="26" t="str">
        <x:v>Bị từ chối, không lọt authorization</x:v>
      </x:c>
      <x:c r="F19" s="26" t="str">
        <x:v>JWT hợp lệ có sẵn từ login</x:v>
      </x:c>
      <x:c r="G19" s="26" t="str">
        <x:v>Untested</x:v>
      </x:c>
      <x:c r="H19" s="26" t="str"/>
      <x:c r="I19" s="26" t="str">
        <x:v>QA Tester</x:v>
      </x:c>
      <x:c r="J19" s="26" t="n">
        <x:v>1</x:v>
      </x:c>
      <x:c r="K19" s="26" t="n">
        <x:f>IF(G19="Pass",1,0)</x:f>
        <x:v>0</x:v>
      </x:c>
      <x:c r="L19" s="51" t="n">
        <x:f>IFERROR(K19/J19,0)</x:f>
        <x:v>0</x:v>
      </x:c>
      <x:c r="M19" s="26" t="str">
        <x:v>NOT EXECUTED. Verify approved SRS/baseline before running.
Source status NOT EXECUTED. Do not carry over historical demo/Fix2FA PASS.</x:v>
      </x:c>
      <x:c r="N19" s="26" t="str">
        <x:v>SPARK-177</x:v>
      </x:c>
      <x:c r="O19" s="26" t="str">
        <x:v>NOT RUN / NO CURRENT SHA</x:v>
      </x:c>
      <x:c r="P19" s="26" t="str">
        <x:v>SPARK177_Acceptance_Gap_Matrix.xlsx!Test chua du bang chung</x:v>
      </x:c>
      <x:c r="Q19" s="26" t="str">
        <x:v>Auth/Security · planned QA only</x:v>
      </x:c>
    </x:row>
    <x:row r="20" ht="57" customHeight="1">
      <x:c r="B20" s="52" t="str">
        <x:v>[SP177-AUTH-001]</x:v>
      </x:c>
      <x:c r="C20" s="26" t="str">
        <x:v>Cross-account token dùng trên account B</x:v>
      </x:c>
      <x:c r="D20" s="26" t="str">
        <x:v>Planned only (Authorization); prerequisite: 2 user synthetic A và B. Data: IDs lấy từ registration/response</x:v>
      </x:c>
      <x:c r="E20" s="26" t="str">
        <x:v>Không truy cập dữ liệu không được phép theo policy</x:v>
      </x:c>
      <x:c r="F20" s="26" t="str">
        <x:v>2 user synthetic A và B</x:v>
      </x:c>
      <x:c r="G20" s="26" t="str">
        <x:v>Untested</x:v>
      </x:c>
      <x:c r="H20" s="26" t="str"/>
      <x:c r="I20" s="26" t="str">
        <x:v>QA Tester</x:v>
      </x:c>
      <x:c r="J20" s="26" t="n">
        <x:v>1</x:v>
      </x:c>
      <x:c r="K20" s="26" t="n">
        <x:f>IF(G20="Pass",1,0)</x:f>
        <x:v>0</x:v>
      </x:c>
      <x:c r="L20" s="51" t="n">
        <x:f>IFERROR(K20/J20,0)</x:f>
        <x:v>0</x:v>
      </x:c>
      <x:c r="M20" s="26" t="str">
        <x:v>NOT EXECUTED. Verify approved SRS/baseline before running.
Source status NOT EXECUTED. Do not carry over historical demo/Fix2FA PASS.</x:v>
      </x:c>
      <x:c r="N20" s="26" t="str">
        <x:v>SPARK-177</x:v>
      </x:c>
      <x:c r="O20" s="26" t="str">
        <x:v>NOT RUN / NO CURRENT SHA</x:v>
      </x:c>
      <x:c r="P20" s="26" t="str">
        <x:v>SPARK177_Acceptance_Gap_Matrix.xlsx!Test chua du bang chung</x:v>
      </x:c>
      <x:c r="Q20" s="26" t="str">
        <x:v>Auth/Authorization · planned QA only</x:v>
      </x:c>
    </x:row>
    <x:row r="21" ht="57" customHeight="1">
      <x:c r="B21" s="52" t="str">
        <x:v>[SP177-AUTH-002]</x:v>
      </x:c>
      <x:c r="C21" s="26" t="str">
        <x:v>Permission bị revoke sau khi cấp token</x:v>
      </x:c>
      <x:c r="D21" s="26" t="str">
        <x:v>Planned only (Authorization); prerequisite: User role/permission change via authorized test fixture. Data: Old token trước revoke; new token sau revoke</x:v>
      </x:c>
      <x:c r="E21" s="26" t="str">
        <x:v>Không còn quyền bị thu hồi trong cửa sổ policy</x:v>
      </x:c>
      <x:c r="F21" s="26" t="str">
        <x:v>User role/permission change via authorized test fixture</x:v>
      </x:c>
      <x:c r="G21" s="26" t="str">
        <x:v>Untested</x:v>
      </x:c>
      <x:c r="H21" s="26" t="str"/>
      <x:c r="I21" s="26" t="str">
        <x:v>QA Tester</x:v>
      </x:c>
      <x:c r="J21" s="26" t="n">
        <x:v>1</x:v>
      </x:c>
      <x:c r="K21" s="26" t="n">
        <x:f>IF(G21="Pass",1,0)</x:f>
        <x:v>0</x:v>
      </x:c>
      <x:c r="L21" s="51" t="n">
        <x:f>IFERROR(K21/J21,0)</x:f>
        <x:v>0</x:v>
      </x:c>
      <x:c r="M21" s="26" t="str">
        <x:v>NOT EXECUTED. Verify approved SRS/baseline before running.
Source status NOT EXECUTED. Do not carry over historical demo/Fix2FA PASS.</x:v>
      </x:c>
      <x:c r="N21" s="26" t="str">
        <x:v>SPARK-177</x:v>
      </x:c>
      <x:c r="O21" s="26" t="str">
        <x:v>NOT RUN / NO CURRENT SHA</x:v>
      </x:c>
      <x:c r="P21" s="26" t="str">
        <x:v>SPARK177_Acceptance_Gap_Matrix.xlsx!Test chua du bang chung</x:v>
      </x:c>
      <x:c r="Q21" s="26" t="str">
        <x:v>Auth/Authorization · planned QA only</x:v>
      </x:c>
    </x:row>
    <x:row r="22" ht="57" customHeight="1">
      <x:c r="B22" s="52" t="str">
        <x:v>[SP177-AUTH-003]</x:v>
      </x:c>
      <x:c r="C22" s="26" t="str">
        <x:v>Disable/lock khi token còn hiệu lực</x:v>
      </x:c>
      <x:c r="D22" s="26" t="str">
        <x:v>Planned only (Authorization); prerequisite: User active token issued. Data: Before vs after disable/lock</x:v>
      </x:c>
      <x:c r="E22" s="26" t="str">
        <x:v>Token cũ bị xử lý theo security baseline</x:v>
      </x:c>
      <x:c r="F22" s="26" t="str">
        <x:v>User active token issued</x:v>
      </x:c>
      <x:c r="G22" s="26" t="str">
        <x:v>Untested</x:v>
      </x:c>
      <x:c r="H22" s="26" t="str"/>
      <x:c r="I22" s="26" t="str">
        <x:v>QA Tester</x:v>
      </x:c>
      <x:c r="J22" s="26" t="n">
        <x:v>1</x:v>
      </x:c>
      <x:c r="K22" s="26" t="n">
        <x:f>IF(G22="Pass",1,0)</x:f>
        <x:v>0</x:v>
      </x:c>
      <x:c r="L22" s="51" t="n">
        <x:f>IFERROR(K22/J22,0)</x:f>
        <x:v>0</x:v>
      </x:c>
      <x:c r="M22" s="26" t="str">
        <x:v>NOT EXECUTED. Verify approved SRS/baseline before running.
Source status NOT EXECUTED. Do not carry over historical demo/Fix2FA PASS.</x:v>
      </x:c>
      <x:c r="N22" s="26" t="str">
        <x:v>SPARK-177</x:v>
      </x:c>
      <x:c r="O22" s="26" t="str">
        <x:v>NOT RUN / NO CURRENT SHA</x:v>
      </x:c>
      <x:c r="P22" s="26" t="str">
        <x:v>SPARK177_Acceptance_Gap_Matrix.xlsx!Test chua du bang chung</x:v>
      </x:c>
      <x:c r="Q22" s="26" t="str">
        <x:v>Auth/Authorization · planned QA only</x:v>
      </x:c>
    </x:row>
    <x:row r="23" ht="57" customHeight="1">
      <x:c r="B23" s="52" t="str">
        <x:v>[SP177-MFA-001]</x:v>
      </x:c>
      <x:c r="C23" s="26" t="str">
        <x:v>Disable TOTP and re-login</x:v>
      </x:c>
      <x:c r="D23" s="26" t="str">
        <x:v>Planned only (MFA); prerequisite: TOTP enabled &amp; verified. Data: Use synthetic account, no real recovery code stored</x:v>
      </x:c>
      <x:c r="E23" s="26" t="str">
        <x:v>FE/backend state reflects disabled setting; verify session logic</x:v>
      </x:c>
      <x:c r="F23" s="26" t="str">
        <x:v>TOTP enabled &amp; verified</x:v>
      </x:c>
      <x:c r="G23" s="26" t="str">
        <x:v>Untested</x:v>
      </x:c>
      <x:c r="H23" s="26" t="str"/>
      <x:c r="I23" s="26" t="str">
        <x:v>QA Tester</x:v>
      </x:c>
      <x:c r="J23" s="26" t="n">
        <x:v>1</x:v>
      </x:c>
      <x:c r="K23" s="26" t="n">
        <x:f>IF(G23="Pass",1,0)</x:f>
        <x:v>0</x:v>
      </x:c>
      <x:c r="L23" s="51" t="n">
        <x:f>IFERROR(K23/J23,0)</x:f>
        <x:v>0</x:v>
      </x:c>
      <x:c r="M23" s="26" t="str">
        <x:v>NOT EXECUTED. Verify approved SRS/baseline before running.
Source status NOT EXECUTED. Do not carry over historical demo/Fix2FA PASS.</x:v>
      </x:c>
      <x:c r="N23" s="26" t="str">
        <x:v>SPARK-177</x:v>
      </x:c>
      <x:c r="O23" s="26" t="str">
        <x:v>NOT RUN / NO CURRENT SHA</x:v>
      </x:c>
      <x:c r="P23" s="26" t="str">
        <x:v>SPARK177_Acceptance_Gap_Matrix.xlsx!Test chua du bang chung</x:v>
      </x:c>
      <x:c r="Q23" s="26" t="str">
        <x:v>Auth/MFA · planned QA only</x:v>
      </x:c>
    </x:row>
    <x:row r="24" ht="57" customHeight="1">
      <x:c r="B24" s="52" t="str">
        <x:v>[SP177-FE-001]</x:v>
      </x:c>
      <x:c r="C24" s="26" t="str">
        <x:v>Complete Login→MFA→Logout→Back/Refresh</x:v>
      </x:c>
      <x:c r="D24" s="26" t="str">
        <x:v>Planned only (FE UAT); prerequisite: FE build confirmed and QA reviewer named. Data: Browser timestamps and synthetic account</x:v>
      </x:c>
      <x:c r="E24" s="26" t="str">
        <x:v>UI access/redirect and revoked token match approved journey</x:v>
      </x:c>
      <x:c r="F24" s="26" t="str">
        <x:v>FE build confirmed and QA reviewer named</x:v>
      </x:c>
      <x:c r="G24" s="26" t="str">
        <x:v>Untested</x:v>
      </x:c>
      <x:c r="H24" s="26" t="str"/>
      <x:c r="I24" s="26" t="str">
        <x:v>QA Tester</x:v>
      </x:c>
      <x:c r="J24" s="26" t="n">
        <x:v>1</x:v>
      </x:c>
      <x:c r="K24" s="26" t="n">
        <x:f>IF(G24="Pass",1,0)</x:f>
        <x:v>0</x:v>
      </x:c>
      <x:c r="L24" s="51" t="n">
        <x:f>IFERROR(K24/J24,0)</x:f>
        <x:v>0</x:v>
      </x:c>
      <x:c r="M24" s="26" t="str">
        <x:v>NOT EXECUTED. Verify approved SRS/baseline before running.
Source status NOT EXECUTED. Do not carry over historical demo/Fix2FA PASS.</x:v>
      </x:c>
      <x:c r="N24" s="26" t="str">
        <x:v>SPARK-177</x:v>
      </x:c>
      <x:c r="O24" s="26" t="str">
        <x:v>NOT RUN / NO CURRENT SHA</x:v>
      </x:c>
      <x:c r="P24" s="26" t="str">
        <x:v>SPARK177_Acceptance_Gap_Matrix.xlsx!Test chua du bang chung</x:v>
      </x:c>
      <x:c r="Q24" s="26" t="str">
        <x:v>Auth/FE UAT · planned QA only</x:v>
      </x:c>
    </x:row>
  </x:sheetData>
  <x:mergeCells>
    <x:mergeCell ref="B1:Q1"/>
    <x:mergeCell ref="C4:Q4"/>
    <x:mergeCell ref="B8:Q8"/>
  </x:mergeCells>
  <x:conditionalFormatting sqref="G10:G24">
    <x:cfRule type="expression" dxfId="4" priority="1">
      <x:formula>G10="Fail"</x:formula>
    </x:cfRule>
    <x:cfRule type="expression" dxfId="5" priority="2">
      <x:formula>G10="Pass"</x:formula>
    </x:cfRule>
  </x:conditionalFormatting>
  <x:dataValidations count="1">
    <x:dataValidation type="list" sqref="G10:G24">
      <x:formula1>"Pass,Fail,Untested,Blocked,N/A"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2" max="2" width="25" hidden="0" customWidth="1"/>
    <x:col min="3" max="3" width="31" hidden="0" customWidth="1"/>
    <x:col min="4" max="4" width="34" hidden="0" customWidth="1"/>
    <x:col min="5" max="5" width="48" hidden="0" customWidth="1"/>
    <x:col min="6" max="6" width="38" hidden="0" customWidth="1"/>
    <x:col min="7" max="7" width="30" hidden="0" customWidth="1"/>
  </x:cols>
  <x:sheetData>
    <x:row r="1" ht="32" customHeight="1">
      <x:c r="B1" s="39" t="str">
        <x:v>HISTORICAL RUN INDEX</x:v>
      </x:c>
      <x:c r="C1" s="39"/>
      <x:c r="D1" s="39"/>
      <x:c r="E1" s="39"/>
      <x:c r="F1" s="39"/>
      <x:c r="G1" s="39"/>
    </x:row>
    <x:row r="3">
      <x:c r="B3" s="49" t="str">
        <x:v>Task / run</x:v>
      </x:c>
      <x:c r="C3" s="49" t="str">
        <x:v>Baseline / date</x:v>
      </x:c>
      <x:c r="D3" s="49" t="str">
        <x:v>Run type</x:v>
      </x:c>
      <x:c r="E3" s="49" t="str">
        <x:v>Reported outcome</x:v>
      </x:c>
      <x:c r="F3" s="49" t="str">
        <x:v>QA interpretation</x:v>
      </x:c>
      <x:c r="G3" s="49" t="str">
        <x:v>Primary source</x:v>
      </x:c>
    </x:row>
    <x:row r="4" ht="53" customHeight="1">
      <x:c r="B4" s="26" t="str">
        <x:v>SPARK-177 RUN-01</x:v>
      </x:c>
      <x:c r="C4" s="26" t="str">
        <x:v>Demo (old, unknown SHA)</x:v>
      </x:c>
      <x:c r="D4" s="26" t="str">
        <x:v>Login/Logout API</x:v>
      </x:c>
      <x:c r="E4" s="26" t="str">
        <x:v>19 PASS; 1 unexecuted; 1 N/A</x:v>
      </x:c>
      <x:c r="F4" s="26" t="str">
        <x:v>Historical-only aggregate; not current Fix2FA outcome</x:v>
      </x:c>
      <x:c r="G4" s="26" t="str">
        <x:v>SPARK177_QA_Traceability_DRAFT.xlsx / Test runs</x:v>
      </x:c>
    </x:row>
    <x:row r="5" ht="53" customHeight="1">
      <x:c r="B5" s="26" t="str">
        <x:v>SPARK-177 RUN-02</x:v>
      </x:c>
      <x:c r="C5" s="26" t="str">
        <x:v>Fix2FA (unknown SHA)</x:v>
      </x:c>
      <x:c r="D5" s="26" t="str">
        <x:v>Manual auth/MFA</x:v>
      </x:c>
      <x:c r="E5" s="26" t="str">
        <x:v>9 PASS / 2 NOT TESTED</x:v>
      </x:c>
      <x:c r="F5" s="26" t="str">
        <x:v>Legacy summary only; do not expand to invented cases</x:v>
      </x:c>
      <x:c r="G5" s="26" t="str">
        <x:v>SPARK177_QA_Traceability_DRAFT.xlsx / Test runs</x:v>
      </x:c>
    </x:row>
    <x:row r="6" ht="53" customHeight="1">
      <x:c r="B6" s="26" t="str">
        <x:v>SPARK-177 RUN-03</x:v>
      </x:c>
      <x:c r="C6" s="26" t="str">
        <x:v>Fix2FA local</x:v>
      </x:c>
      <x:c r="D6" s="26" t="str">
        <x:v>API negative smoke</x:v>
      </x:c>
      <x:c r="E6" s="26" t="str">
        <x:v>5 PASS / 0 FAIL / 0 SKIP</x:v>
      </x:c>
      <x:c r="F6" s="26" t="str">
        <x:v>No case-level request/expected/actual in supplied ZIP</x:v>
      </x:c>
      <x:c r="G6" s="26" t="str">
        <x:v>SPARK177_QA_Traceability_DRAFT.xlsx / Test runs</x:v>
      </x:c>
    </x:row>
    <x:row r="7" ht="53" customHeight="1">
      <x:c r="B7" s="26" t="str">
        <x:v>SPARK-177 RUN-04</x:v>
      </x:c>
      <x:c r="C7" s="26" t="str">
        <x:v>2026-10-19</x:v>
      </x:c>
      <x:c r="D7" s="26" t="str">
        <x:v>UserService.Tests</x:v>
      </x:c>
      <x:c r="E7" s="26" t="str">
        <x:v>73 PASS / 0 FAIL / 26 SKIP</x:v>
      </x:c>
      <x:c r="F7" s="26" t="str">
        <x:v>Unit run only; 26 integration fixtures skipped</x:v>
      </x:c>
      <x:c r="G7" s="26" t="str">
        <x:v>SPARK177_QA_Report_DRAFT.docx</x:v>
      </x:c>
    </x:row>
    <x:row r="8" ht="53" customHeight="1">
      <x:c r="B8" s="26" t="str">
        <x:v>SPARK-177 RUN-05</x:v>
      </x:c>
      <x:c r="C8" s="26" t="str">
        <x:v>2026-10-19</x:v>
      </x:c>
      <x:c r="D8" s="26" t="str">
        <x:v>MFA exploratory</x:v>
      </x:c>
      <x:c r="E8" s="26" t="str">
        <x:v>HTTP200 challenge, 400 invalid format, later 500</x:v>
      </x:c>
      <x:c r="F8" s="26" t="str">
        <x:v>MFA 500 remains an observation; input/challenge validity unverified</x:v>
      </x:c>
      <x:c r="G8" s="26" t="str">
        <x:v>SPARK177_QA_Report_DRAFT.docx</x:v>
      </x:c>
    </x:row>
    <x:row r="9" ht="53" customHeight="1">
      <x:c r="B9" s="26" t="str">
        <x:v>SPARK-177 RUN-06</x:v>
      </x:c>
      <x:c r="C9" s="26" t="str">
        <x:v>2026-10-05</x:v>
      </x:c>
      <x:c r="D9" s="26" t="str">
        <x:v>Historical UAT 20 cases</x:v>
      </x:c>
      <x:c r="E9" s="26" t="str">
        <x:v>8 PASS / 4 FAIL / 1 BLOCKED / 7 NOT TESTED</x:v>
      </x:c>
      <x:c r="F9" s="26" t="str">
        <x:v>Different FE baseline, not current UAT</x:v>
      </x:c>
      <x:c r="G9" s="26" t="str">
        <x:v>SPARK177_QA_Traceability_DRAFT.xlsx / Test runs</x:v>
      </x:c>
    </x:row>
    <x:row r="10" ht="53" customHeight="1">
      <x:c r="B10" s="26" t="str">
        <x:v>PR9 AUTO-01</x:v>
      </x:c>
      <x:c r="C10" s="26" t="str">
        <x:v>05e2976d, 2026-10-22</x:v>
      </x:c>
      <x:c r="D10" s="26" t="str">
        <x:v>Developer .NET tests</x:v>
      </x:c>
      <x:c r="E10" s="26" t="str">
        <x:v>167 PASS / 0 FAIL / 0 SKIP</x:v>
      </x:c>
      <x:c r="F10" s="26" t="str">
        <x:v>Unit/DI group not counted as QA case</x:v>
      </x:c>
      <x:c r="G10" s="26" t="str">
        <x:v>PR9_QA_Final_Report.docx</x:v>
      </x:c>
    </x:row>
    <x:row r="11" ht="53" customHeight="1">
      <x:c r="B11" s="26" t="str">
        <x:v>PR9 FE BUILD</x:v>
      </x:c>
      <x:c r="C11" s="26" t="str">
        <x:v>05e2976d, 2026-10-22</x:v>
      </x:c>
      <x:c r="D11" s="26" t="str">
        <x:v>Frontend build</x:v>
      </x:c>
      <x:c r="E11" s="26" t="str">
        <x:v>PASS, 779 modules</x:v>
      </x:c>
      <x:c r="F11" s="26" t="str">
        <x:v>Build status only; not E2E</x:v>
      </x:c>
      <x:c r="G11" s="26" t="str">
        <x:v>PR9_QA_Final_Report.docx</x:v>
      </x:c>
    </x:row>
    <x:row r="12" ht="53" customHeight="1">
      <x:c r="B12" s="26" t="str">
        <x:v>PR9 E2E / User</x:v>
      </x:c>
      <x:c r="C12" s="26" t="str">
        <x:v>05e2976d, 2026-10-22</x:v>
      </x:c>
      <x:c r="D12" s="26" t="str">
        <x:v>User-root Owner/Admin/FE</x:v>
      </x:c>
      <x:c r="E12" s="26" t="str">
        <x:v>17 detailed case PASS (1 limited UI)</x:v>
      </x:c>
      <x:c r="F12" s="26" t="str">
        <x:v>Positive scoped success; not full token/OTP negative signoff</x:v>
      </x:c>
      <x:c r="G12" s="26" t="str">
        <x:v>PR9_QA_Traceability_Final.xlsx TEST_CASES</x:v>
      </x:c>
    </x:row>
    <x:row r="13" ht="53" customHeight="1">
      <x:c r="B13" s="26" t="str">
        <x:v>PR9 Facility UI</x:v>
      </x:c>
      <x:c r="C13" s="26" t="str">
        <x:v>05e2976d, 2026-10-22</x:v>
      </x:c>
      <x:c r="D13" s="26" t="str">
        <x:v>Site management UI</x:v>
      </x:c>
      <x:c r="E13" s="26" t="str">
        <x:v>2 UI cases PASS (provisional Facility)</x:v>
      </x:c>
      <x:c r="F13" s="26" t="str">
        <x:v>Ownership requires API/call-chain confirmation; recorded in Facility master</x:v>
      </x:c>
      <x:c r="G13" s="26" t="str">
        <x:v>PR9_QA_Traceability_Final.xlsx TEST_CASES</x:v>
      </x:c>
    </x:row>
    <x:row r="15" ht="48" customHeight="1">
      <x:c r="B15" s="26" t="str">
        <x:v>SP197-UAT-20261029</x:v>
      </x:c>
      <x:c r="C15" s="26" t="str">
        <x:v>9952091294a9 / 2026-10-29</x:v>
      </x:c>
      <x:c r="D15" s="26" t="str">
        <x:v>Live browser Owner+Admin UAT</x:v>
      </x:c>
      <x:c r="E15" s="26" t="str">
        <x:v>10 distinct PASS manual journey cases</x:v>
      </x:c>
      <x:c r="F15" s="26" t="str">
        <x:v>Real email decision evidence and approved/rejected login. Not full AC sign-off.</x:v>
      </x:c>
      <x:c r="G15" s="26" t="str">
        <x:v>This conversation UAT screenshots; SPARK-197 QA report</x:v>
      </x:c>
    </x:row>
    <x:row r="16" ht="48" customHeight="1">
      <x:c r="B16" s="26" t="str">
        <x:v>SP197-NEW-20261029</x:v>
      </x:c>
      <x:c r="C16" s="26" t="str">
        <x:v>9952091294a9 / 2026-10-29</x:v>
      </x:c>
      <x:c r="D16" s="26" t="str">
        <x:v>Newman API auth and audit</x:v>
      </x:c>
      <x:c r="E16" s="26" t="str">
        <x:v>10 requests / 17 assertions PASS</x:v>
      </x:c>
      <x:c r="F16" s="26" t="str">
        <x:v>Read-only status/authorization with zero-GUID PATCH; no real approval mutation</x:v>
      </x:c>
      <x:c r="G16" s="26" t="str">
        <x:v>SPARK-197-Newman-Sanitized-Result.json</x:v>
      </x:c>
    </x:row>
    <x:row r="17" ht="48" customHeight="1">
      <x:c r="B17" s="26" t="str">
        <x:v>SP197-UNIT-20261029</x:v>
      </x:c>
      <x:c r="C17" s="26" t="str">
        <x:v>9952091294a9 / 2026-10-29</x:v>
      </x:c>
      <x:c r="D17" s="26" t="str">
        <x:v>Targeted .NET unit run (earlier logs)</x:v>
      </x:c>
      <x:c r="E17" s="26" t="str">
        <x:v>5 pass / 0 fail / 0 skip</x:v>
      </x:c>
      <x:c r="F17" s="26" t="str">
        <x:v>Developer assertion review completed; execution is prior conversation evidence</x:v>
      </x:c>
      <x:c r="G17" s="26" t="str">
        <x:v>OwnerApprovalCoordinationTests.cs; earlier local terminal logs</x:v>
      </x:c>
    </x:row>
    <x:row r="18" ht="48" customHeight="1">
      <x:c r="B18" s="26" t="str">
        <x:v>SP197-INTEG-20261029</x:v>
      </x:c>
      <x:c r="C18" s="26" t="str">
        <x:v>9952091294a9 / 2026-10-29</x:v>
      </x:c>
      <x:c r="D18" s="26" t="str">
        <x:v>PostgreSQL integration run (earlier logs)</x:v>
      </x:c>
      <x:c r="E18" s="26" t="str">
        <x:v>5 pass / 0 fail / 0 skip</x:v>
      </x:c>
      <x:c r="F18" s="26" t="str">
        <x:v>No attached raw trx; prior local run log, not Newman</x:v>
      </x:c>
      <x:c r="G18" s="26" t="str">
        <x:v>Earlier local terminal logs; SPARK-197 QA report</x:v>
      </x:c>
    </x:row>
  </x:sheetData>
  <x:mergeCells>
    <x:mergeCell ref="B1:G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workbookViewId="0">
      <x:pane ySplit="3" topLeftCell="A4" activePane="bottomLeft" state="frozen"/>
    </x:sheetView>
  </x:sheetViews>
  <x:sheetFormatPr defaultRowHeight="15"/>
  <x:cols>
    <x:col min="2" max="2" width="25" hidden="0" customWidth="1"/>
    <x:col min="3" max="3" width="31" hidden="0" customWidth="1"/>
    <x:col min="4" max="4" width="34" hidden="0" customWidth="1"/>
    <x:col min="5" max="5" width="48" hidden="0" customWidth="1"/>
    <x:col min="6" max="6" width="38" hidden="0" customWidth="1"/>
    <x:col min="7" max="7" width="30" hidden="0" customWidth="1"/>
  </x:cols>
  <x:sheetData>
    <x:row r="1" ht="32" customHeight="1">
      <x:c r="B1" s="39" t="str">
        <x:v>OPEN FINDINGS</x:v>
      </x:c>
      <x:c r="C1" s="39"/>
      <x:c r="D1" s="39"/>
      <x:c r="E1" s="39"/>
      <x:c r="F1" s="39"/>
      <x:c r="G1" s="39"/>
    </x:row>
    <x:row r="3">
      <x:c r="B3" s="49" t="str">
        <x:v>Work / ID</x:v>
      </x:c>
      <x:c r="C3" s="49" t="str">
        <x:v>Classification</x:v>
      </x:c>
      <x:c r="D3" s="49" t="str">
        <x:v>Source status</x:v>
      </x:c>
      <x:c r="E3" s="49" t="str">
        <x:v>Observation</x:v>
      </x:c>
      <x:c r="F3" s="49" t="str">
        <x:v>Action / boundary</x:v>
      </x:c>
      <x:c r="G3" s="49" t="str">
        <x:v>Evidence</x:v>
      </x:c>
    </x:row>
    <x:row r="4" ht="53" customHeight="1">
      <x:c r="B4" s="26" t="str">
        <x:v>SPARK-177 OBS-MFA-500</x:v>
      </x:c>
      <x:c r="C4" s="26" t="str">
        <x:v>INVESTIGATION</x:v>
      </x:c>
      <x:c r="D4" s="26" t="str">
        <x:v>OPEN</x:v>
      </x:c>
      <x:c r="E4" s="26" t="str">
        <x:v>MFA login returned HTTP 500 during exploratory test</x:v>
      </x:c>
      <x:c r="F4" s="26" t="str">
        <x:v>Validate challenge and TOTP accuracy; no proven Backend bug yet</x:v>
      </x:c>
      <x:c r="G4" s="26" t="str">
        <x:v>SPARK177_QA_Report_DRAFT.docx</x:v>
      </x:c>
    </x:row>
    <x:row r="5" ht="53" customHeight="1">
      <x:c r="B5" s="26" t="str">
        <x:v>SPARK-177 ENV-SQL</x:v>
      </x:c>
      <x:c r="C5" s="26" t="str">
        <x:v>ENVIRONMENT</x:v>
      </x:c>
      <x:c r="D5" s="26" t="str">
        <x:v>BLOCKED</x:v>
      </x:c>
      <x:c r="E5" s="26" t="str">
        <x:v>Integration SQL fixture alignment missing</x:v>
      </x:c>
      <x:c r="F5" s="26" t="str">
        <x:v>Need approved schema/fixture; 26 unit skips unrelated to case PASS</x:v>
      </x:c>
      <x:c r="G5" s="26" t="str">
        <x:v>SPARK177_QA_Traceability_DRAFT.xlsx</x:v>
      </x:c>
    </x:row>
    <x:row r="6" ht="53" customHeight="1">
      <x:c r="B6" s="26" t="str">
        <x:v>SPARK-177 NEWMAN</x:v>
      </x:c>
      <x:c r="C6" s="26" t="str">
        <x:v>AC GAP</x:v>
      </x:c>
      <x:c r="D6" s="26" t="str">
        <x:v>NOT VERIFIED</x:v>
      </x:c>
      <x:c r="E6" s="26" t="str">
        <x:v>Dynamic collection/Newman report absent</x:v>
      </x:c>
      <x:c r="F6" s="26" t="str">
        <x:v>Export sanitized Postman collection and execution report before Done</x:v>
      </x:c>
      <x:c r="G6" s="26" t="str">
        <x:v>SPARK177_QA_Report_DRAFT.docx</x:v>
      </x:c>
    </x:row>
    <x:row r="7" ht="53" customHeight="1">
      <x:c r="B7" s="26" t="str">
        <x:v>SPARK-177 UAT</x:v>
      </x:c>
      <x:c r="C7" s="26" t="str">
        <x:v>AC GAP</x:v>
      </x:c>
      <x:c r="D7" s="26" t="str">
        <x:v>NOT VERIFIED</x:v>
      </x:c>
      <x:c r="E7" s="26" t="str">
        <x:v>Current FE UAT and reviewer approval absent</x:v>
      </x:c>
      <x:c r="F7" s="26" t="str">
        <x:v>Retest on approved baseline; do not carry 05/10 results as current</x:v>
      </x:c>
      <x:c r="G7" s="26" t="str">
        <x:v>SPARK177_QA_Report_DRAFT.docx</x:v>
      </x:c>
    </x:row>
    <x:row r="8" ht="53" customHeight="1">
      <x:c r="B8" s="26" t="str">
        <x:v>PR9-R22-16</x:v>
      </x:c>
      <x:c r="C8" s="26" t="str">
        <x:v>QA GAP</x:v>
      </x:c>
      <x:c r="D8" s="26" t="str">
        <x:v>NOT RETESTED</x:v>
      </x:c>
      <x:c r="E8" s="26" t="str">
        <x:v>Expired/wrong OTP, resend and retry on new FE</x:v>
      </x:c>
      <x:c r="F8" s="26" t="str">
        <x:v>Targeted negative coverage after code change</x:v>
      </x:c>
      <x:c r="G8" s="26" t="str">
        <x:v>PR9_QA_Traceability_Final.xlsx</x:v>
      </x:c>
    </x:row>
    <x:row r="9" ht="53" customHeight="1">
      <x:c r="B9" s="26" t="str">
        <x:v>PR9-R22-17</x:v>
      </x:c>
      <x:c r="C9" s="26" t="str">
        <x:v>QA GAP</x:v>
      </x:c>
      <x:c r="D9" s="26" t="str">
        <x:v>NOT TESTED</x:v>
      </x:c>
      <x:c r="E9" s="26" t="str">
        <x:v>Post-logout access/refresh token API invalidation</x:v>
      </x:c>
      <x:c r="F9" s="26" t="str">
        <x:v>Do not infer server revocation from Logout UI</x:v>
      </x:c>
      <x:c r="G9" s="26" t="str">
        <x:v>PR9_QA_Traceability_Final.xlsx</x:v>
      </x:c>
    </x:row>
    <x:row r="10" ht="53" customHeight="1">
      <x:c r="B10" s="26" t="str">
        <x:v>PR9-R22-18</x:v>
      </x:c>
      <x:c r="C10" s="26" t="str">
        <x:v>REGRESSION GAP</x:v>
      </x:c>
      <x:c r="D10" s="26" t="str">
        <x:v>NOT RETESTED</x:v>
      </x:c>
      <x:c r="E10" s="26" t="str">
        <x:v>Driver/Operator flow regression outside narrow Owner cycle</x:v>
      </x:c>
      <x:c r="F10" s="26" t="str">
        <x:v>Coordinate scope with Leader</x:v>
      </x:c>
      <x:c r="G10" s="26" t="str">
        <x:v>PR9_QA_Traceability_Final.xlsx</x:v>
      </x:c>
    </x:row>
    <x:row r="11" ht="53" customHeight="1">
      <x:c r="B11" s="26" t="str">
        <x:v>PR9-SMTP-02</x:v>
      </x:c>
      <x:c r="C11" s="26" t="str">
        <x:v>EXTERNAL ACCOUNT</x:v>
      </x:c>
      <x:c r="D11" s="26" t="str">
        <x:v>AUTH 535 FAIL</x:v>
      </x:c>
      <x:c r="E11" s="26" t="str">
        <x:v>Shared Gmail refused credential despite TLS</x:v>
      </x:c>
      <x:c r="F11" s="26" t="str">
        <x:v>Do not label app defect; alternative SMTP E2E did PASS</x:v>
      </x:c>
      <x:c r="G11" s="26" t="str">
        <x:v>PR9_QA_Final_Report.docx</x:v>
      </x:c>
    </x:row>
    <x:row r="12" ht="53" customHeight="1">
      <x:c r="B12" s="26" t="str">
        <x:v>PR9-NEG-01</x:v>
      </x:c>
      <x:c r="C12" s="26" t="str">
        <x:v>OBSERVATION</x:v>
      </x:c>
      <x:c r="D12" s="26" t="str">
        <x:v>OBSERVED</x:v>
      </x:c>
      <x:c r="E12" s="26" t="str">
        <x:v>Duplicate contact raised AuthException; no full HTTP response</x:v>
      </x:c>
      <x:c r="F12" s="26" t="str">
        <x:v>Not PASS until HTTP contract verified</x:v>
      </x:c>
      <x:c r="G12" s="26" t="str">
        <x:v>PR9_QA_Traceability_Final.xlsx</x:v>
      </x:c>
    </x:row>
    <x:row r="13" ht="53" customHeight="1">
      <x:c r="B13" s="26" t="str">
        <x:v>PR9-R22-19</x:v>
      </x:c>
      <x:c r="C13" s="26" t="str">
        <x:v>OBSERVATION</x:v>
      </x:c>
      <x:c r="D13" s="26" t="str">
        <x:v>NEEDS CLARIFICATION</x:v>
      </x:c>
      <x:c r="E13" s="26" t="str">
        <x:v>20 planned slots vs dashboard physical capacity 0</x:v>
      </x:c>
      <x:c r="F13" s="26" t="str">
        <x:v>Check physical layout definitions; not bug without contract</x:v>
      </x:c>
      <x:c r="G13" s="26" t="str">
        <x:v>PR9_QA_Traceability_Final.xlsx</x:v>
      </x:c>
    </x:row>
    <x:row r="14" ht="53" customHeight="1">
      <x:c r="B14" s="26" t="str">
        <x:v>PR9 duplicate handling</x:v>
      </x:c>
      <x:c r="C14" s="26" t="str">
        <x:v>MIGRATION RULE</x:v>
      </x:c>
      <x:c r="D14" s="26" t="str">
        <x:v>EXCLUDED AGGREGATES</x:v>
      </x:c>
      <x:c r="E14" s="26" t="str">
        <x:v>R22-15 aggregates PR9-E2E-01..10; SMTP-01 already covered by E2E</x:v>
      </x:c>
      <x:c r="F14" s="26" t="str">
        <x:v>Not double counted</x:v>
      </x:c>
      <x:c r="G14" s="26" t="str">
        <x:v>PR9_QA_Traceability_Final.xlsx</x:v>
      </x:c>
    </x:row>
    <x:row r="16" ht="52" customHeight="1">
      <x:c r="B16" s="82" t="str">
        <x:v>SPARK-197 ENV-COMMIT</x:v>
      </x:c>
      <x:c r="C16" s="82" t="str">
        <x:v>ENVIRONMENT / RESOLVED</x:v>
      </x:c>
      <x:c r="D16" s="82" t="str">
        <x:v>RETEST PASS</x:v>
      </x:c>
      <x:c r="E16" s="82" t="str">
        <x:v>COMMITMENTS_UNAVAILABLE when ReservationService port 5055 was stopped</x:v>
      </x:c>
      <x:c r="F16" s="82" t="str">
        <x:v>Started isolated QA Operations DB + ReservationService; Retry loaded Structure; do not log as Developer bug</x:v>
      </x:c>
      <x:c r="G16" s="82" t="str">
        <x:v>UAT: image(20261029-103705).png; image(20261029-104903).png</x:v>
      </x:c>
    </x:row>
    <x:row r="17" ht="52" customHeight="1">
      <x:c r="B17" s="83" t="str">
        <x:v>SPARK-197 CAPACITY</x:v>
      </x:c>
      <x:c r="C17" s="83" t="str">
        <x:v>CONTRACT CLARIFICATION</x:v>
      </x:c>
      <x:c r="D17" s="83" t="str">
        <x:v>NOT CONFIRMED BUG</x:v>
      </x:c>
      <x:c r="E17" s="83" t="str">
        <x:v>10 declared onboarding slots vs physical capacity 0; Structure says no backend slots configured</x:v>
      </x:c>
      <x:c r="F17" s="83" t="str">
        <x:v>Confirm whether approval must instantiate physical slots; avoid importing template count as physical capacity</x:v>
      </x:c>
      <x:c r="G17" s="83" t="str">
        <x:v>UAT: image(20261029-103429).png; image(20261029-104903).png</x:v>
      </x:c>
    </x:row>
    <x:row r="18" ht="52" customHeight="1">
      <x:c r="B18" s="83" t="str">
        <x:v>SPARK-197 LIVE-CONC</x:v>
      </x:c>
      <x:c r="C18" s="83" t="str">
        <x:v>TEST GAP</x:v>
      </x:c>
      <x:c r="D18" s="83" t="str">
        <x:v>UNTESTED</x:v>
      </x:c>
      <x:c r="E18" s="83" t="str">
        <x:v>Real two-Admin concurrent decisions and approval-vs-disable race not executed</x:v>
      </x:c>
      <x:c r="F18" s="83" t="str">
        <x:v>Run only with approved isolated pending QA fixtures; unit assertions not live API proof</x:v>
      </x:c>
      <x:c r="G18" s="83" t="str">
        <x:v>Jira SPARK-197 AC; OwnerApprovalCoordinationTests.cs</x:v>
      </x:c>
    </x:row>
    <x:row r="19" ht="52" customHeight="1">
      <x:c r="B19" s="83" t="str">
        <x:v>SPARK-197 DELIVERY-FAIL</x:v>
      </x:c>
      <x:c r="C19" s="83" t="str">
        <x:v>TEST GAP</x:v>
      </x:c>
      <x:c r="D19" s="83" t="str">
        <x:v>UNTESTED LIVE</x:v>
      </x:c>
      <x:c r="E19" s="83" t="str">
        <x:v>Real mailbox delivery succeeded; controlled notification outage was not injected</x:v>
      </x:c>
      <x:c r="F19" s="83" t="str">
        <x:v>Review previous PostgreSQL integration evidence; targeted outage requires approved fixture</x:v>
      </x:c>
      <x:c r="G19" s="83" t="str">
        <x:v>OwnerDecision delivery UAT; Jira SPARK-197</x:v>
      </x:c>
    </x:row>
    <x:row r="20" ht="52" customHeight="1">
      <x:c r="B20" s="83" t="str">
        <x:v>SPARK-197 AUDIT</x:v>
      </x:c>
      <x:c r="C20" s="83" t="str">
        <x:v>TEST GAP</x:v>
      </x:c>
      <x:c r="D20" s="83" t="str">
        <x:v>PARTIAL</x:v>
      </x:c>
      <x:c r="E20" s="83" t="str">
        <x:v>Reviewer ID/time present for A/B; immutable historical audit entries not verified</x:v>
      </x:c>
      <x:c r="F20" s="83" t="str">
        <x:v>Confirm audit log/history and permission revocation independently</x:v>
      </x:c>
      <x:c r="G20" s="83" t="str">
        <x:v>SPARK-197 Newman 17/17 + Admin GET detail</x:v>
      </x:c>
    </x:row>
  </x:sheetData>
  <x:mergeCells>
    <x:mergeCell ref="B1:G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workbookViewId="0">
      <x:pane ySplit="9" topLeftCell="A10" activePane="bottomLeft" state="frozen"/>
    </x:sheetView>
  </x:sheetViews>
  <x:sheetFormatPr defaultRowHeight="15"/>
  <x:cols>
    <x:col min="2" max="2" width="19" hidden="0" customWidth="1"/>
    <x:col min="3" max="3" width="29" hidden="0" customWidth="1"/>
    <x:col min="4" max="4" width="44" hidden="0" customWidth="1"/>
    <x:col min="5" max="5" width="42" hidden="0" customWidth="1"/>
    <x:col min="6" max="6" width="40" hidden="0" customWidth="1"/>
    <x:col min="7" max="7" width="14" hidden="0" customWidth="1"/>
    <x:col min="8" max="8" width="17" hidden="0" customWidth="1"/>
    <x:col min="9" max="9" width="17" hidden="0" customWidth="1"/>
    <x:col min="10" max="10" width="14" hidden="0" customWidth="1"/>
    <x:col min="11" max="11" width="11" hidden="0" customWidth="1"/>
    <x:col min="12" max="12" width="14" hidden="0" customWidth="1"/>
    <x:col min="13" max="13" width="58" hidden="0" customWidth="1"/>
    <x:col min="14" max="14" width="16" hidden="0" customWidth="1"/>
    <x:col min="15" max="15" width="28" hidden="0" customWidth="1"/>
    <x:col min="16" max="16" width="52" hidden="0" customWidth="1"/>
    <x:col min="17" max="17" width="26" hidden="0" customWidth="1"/>
  </x:cols>
  <x:sheetData>
    <x:row r="1" ht="32" customHeight="1">
      <x:c r="B1" s="59" t="str">
        <x:v>SMARTPARKING  |  SPARK-197 ADMIN APPROVE OWNER - API + UAT</x:v>
      </x:c>
      <x:c r="C1" s="59"/>
      <x:c r="D1" s="59"/>
      <x:c r="E1" s="59"/>
      <x:c r="F1" s="59"/>
      <x:c r="G1" s="59"/>
      <x:c r="H1" s="59"/>
      <x:c r="I1" s="59"/>
      <x:c r="J1" s="59"/>
      <x:c r="K1" s="59"/>
      <x:c r="L1" s="59"/>
      <x:c r="M1" s="59"/>
      <x:c r="N1" s="59"/>
      <x:c r="O1" s="59"/>
      <x:c r="P1" s="59"/>
      <x:c r="Q1" s="59"/>
    </x:row>
    <x:row r="2" ht="22" customHeight="1">
      <x:c r="B2" s="60" t="str">
        <x:v>Testing Jira</x:v>
      </x:c>
      <x:c r="C2" t="str">
        <x:v>SPARK-197</x:v>
      </x:c>
    </x:row>
    <x:row r="3" ht="22" customHeight="1">
      <x:c r="B3" s="60" t="str">
        <x:v>Baseline SHA</x:v>
      </x:c>
      <x:c r="C3" t="str">
        <x:v>9952091294a9603ee53863fca2b454e6a11eb666</x:v>
      </x:c>
    </x:row>
    <x:row r="4" ht="22" customHeight="1">
      <x:c r="B4" s="60" t="str">
        <x:v>Scope</x:v>
      </x:c>
      <x:c r="C4" t="str">
        <x:v>UserService · Admin Owner approval / rejection</x:v>
      </x:c>
    </x:row>
    <x:row r="5" ht="23" customHeight="1">
      <x:c r="B5" s="62" t="str">
        <x:v>QA UAT PASS</x:v>
      </x:c>
      <x:c r="C5" s="62" t="n">
        <x:v>10</x:v>
      </x:c>
      <x:c r="D5" s="62" t="str">
        <x:v>Newman/API PASS</x:v>
      </x:c>
      <x:c r="E5" s="62" t="n">
        <x:v>10</x:v>
      </x:c>
      <x:c r="F5" s="62" t="str">
        <x:v>Untested</x:v>
      </x:c>
      <x:c r="G5" s="62" t="n">
        <x:v>9</x:v>
      </x:c>
    </x:row>
    <x:row r="6" ht="23" customHeight="1">
      <x:c r="B6" s="62" t="str">
        <x:v>QA cases PASS</x:v>
      </x:c>
      <x:c r="C6" s="62" t="n">
        <x:v>20</x:v>
      </x:c>
      <x:c r="D6" s="62" t="str">
        <x:v>FAIL</x:v>
      </x:c>
      <x:c r="E6" s="62" t="n">
        <x:v>0</x:v>
      </x:c>
      <x:c r="F6" s="62" t="str">
        <x:v>TOTAL CASES</x:v>
      </x:c>
      <x:c r="G6" s="62" t="n">
        <x:v>29</x:v>
      </x:c>
    </x:row>
    <x:row r="7" ht="29" customHeight="1">
      <x:c r="B7" s="64" t="str">
        <x:v>Scope note: 10 manual UAT cases + 10 distinct Newman requests; direct API retests are corroboration, not double-counted. 9 gaps remain Untested.</x:v>
      </x:c>
      <x:c r="C7" s="64"/>
      <x:c r="D7" s="64"/>
      <x:c r="E7" s="64"/>
      <x:c r="F7" s="64"/>
      <x:c r="G7" s="64"/>
      <x:c r="H7" s="64"/>
      <x:c r="I7" s="64"/>
      <x:c r="J7" s="64"/>
      <x:c r="K7" s="64"/>
      <x:c r="L7" s="64"/>
      <x:c r="M7" s="64"/>
      <x:c r="N7" s="64"/>
      <x:c r="O7" s="64"/>
      <x:c r="P7" s="64"/>
      <x:c r="Q7" s="64"/>
    </x:row>
    <x:row r="8" ht="29" customHeight="1">
      <x:c r="B8" s="64" t="str">
        <x:v>All test data synthetic; no real identities or secrets. Result PASS applies only to executed cases, not to full Jira acceptance.</x:v>
      </x:c>
      <x:c r="C8" s="64"/>
      <x:c r="D8" s="64"/>
      <x:c r="E8" s="64"/>
      <x:c r="F8" s="64"/>
      <x:c r="G8" s="64"/>
      <x:c r="H8" s="64"/>
      <x:c r="I8" s="64"/>
      <x:c r="J8" s="64"/>
      <x:c r="K8" s="64"/>
      <x:c r="L8" s="64"/>
      <x:c r="M8" s="64"/>
      <x:c r="N8" s="64"/>
      <x:c r="O8" s="64"/>
      <x:c r="P8" s="64"/>
      <x:c r="Q8" s="64"/>
    </x:row>
    <x:row r="9" ht="34" customHeight="1">
      <x:c r="B9" s="68" t="str">
        <x:v>ID</x:v>
      </x:c>
      <x:c r="C9" s="68" t="str">
        <x:v>Test Case Description</x:v>
      </x:c>
      <x:c r="D9" s="68" t="str">
        <x:v>Test Case Procedure</x:v>
      </x:c>
      <x:c r="E9" s="68" t="str">
        <x:v>Expected Results</x:v>
      </x:c>
      <x:c r="F9" s="68" t="str">
        <x:v>Inter-test case Dependence</x:v>
      </x:c>
      <x:c r="G9" s="68" t="str">
        <x:v>Result</x:v>
      </x:c>
      <x:c r="H9" s="68" t="str">
        <x:v>Test date</x:v>
      </x:c>
      <x:c r="I9" s="68" t="str">
        <x:v>Tester</x:v>
      </x:c>
      <x:c r="J9" s="68" t="str">
        <x:v>Number of tests</x:v>
      </x:c>
      <x:c r="K9" s="68" t="str">
        <x:v>Passed</x:v>
      </x:c>
      <x:c r="L9" s="68" t="str">
        <x:v>% Passed</x:v>
      </x:c>
      <x:c r="M9" s="68" t="str">
        <x:v>Note / Actual</x:v>
      </x:c>
      <x:c r="N9" s="68" t="str">
        <x:v>Testing Jira</x:v>
      </x:c>
      <x:c r="O9" s="68" t="str">
        <x:v>Baseline commit</x:v>
      </x:c>
      <x:c r="P9" s="68" t="str">
        <x:v>Evidence / source</x:v>
      </x:c>
      <x:c r="Q9" s="68" t="str">
        <x:v>Scenario type</x:v>
      </x:c>
    </x:row>
    <x:row r="10" ht="50" customHeight="1">
      <x:c r="B10" s="26" t="str">
        <x:v>[SP197-UAT-01]</x:v>
      </x:c>
      <x:c r="C10" s="26" t="str">
        <x:v>Owner A business registration + lot setup</x:v>
      </x:c>
      <x:c r="D10" s="26" t="str">
        <x:v>Sign Up &gt; Business; complete outdoor lot wizard; save lot setup</x:v>
      </x:c>
      <x:c r="E10" s="26" t="str">
        <x:v>Valid QA Owner and lot submission are accepted</x:v>
      </x:c>
      <x:c r="F10" s="26" t="str">
        <x:v>New QA email alias, QA services healthy</x:v>
      </x:c>
      <x:c r="G10" s="70" t="str">
        <x:v>Pass</x:v>
      </x:c>
      <x:c r="H10" s="26" t="str">
        <x:v>2026-10-29</x:v>
      </x:c>
      <x:c r="I10" s="26" t="str">
        <x:v>QA Tester</x:v>
      </x:c>
      <x:c r="J10" s="26" t="n">
        <x:v>1</x:v>
      </x:c>
      <x:c r="K10" s="26" t="n">
        <x:v>1</x:v>
      </x:c>
      <x:c r="L10" s="51" t="n">
        <x:f>IFERROR(K10/J10,0)</x:f>
        <x:v>1</x:v>
      </x:c>
      <x:c r="M10" s="26" t="str">
        <x:v>Registered A; lot saved with 10 planned slots</x:v>
      </x:c>
      <x:c r="N10" s="26" t="str">
        <x:v>SPARK-197</x:v>
      </x:c>
      <x:c r="O10" s="26" t="str">
        <x:v>9952091294a9603ee53863fca2b454e6a11eb666</x:v>
      </x:c>
      <x:c r="P10" s="26" t="str">
        <x:v>UAT screenshot: image(20261029-102348).png; user walkthrough</x:v>
      </x:c>
      <x:c r="Q10" s="26" t="str">
        <x:v>UAT / onboarding</x:v>
      </x:c>
    </x:row>
    <x:row r="11" ht="50" customHeight="1">
      <x:c r="B11" s="26" t="str">
        <x:v>[SP197-UAT-02]</x:v>
      </x:c>
      <x:c r="C11" s="26" t="str">
        <x:v>Owner A email OTP + pending status</x:v>
      </x:c>
      <x:c r="D11" s="26" t="str">
        <x:v>Retrieve real Gmail OTP and verify; inspect Admin Pending Review</x:v>
      </x:c>
      <x:c r="E11" s="26" t="str">
        <x:v>Verified application moves to pending Admin review</x:v>
      </x:c>
      <x:c r="F11" s="26" t="str">
        <x:v>Registered Owner A; inbox available</x:v>
      </x:c>
      <x:c r="G11" s="70" t="str">
        <x:v>Pass</x:v>
      </x:c>
      <x:c r="H11" s="26" t="str">
        <x:v>2026-10-29</x:v>
      </x:c>
      <x:c r="I11" s="26" t="str">
        <x:v>QA Tester</x:v>
      </x:c>
      <x:c r="J11" s="26" t="n">
        <x:v>1</x:v>
      </x:c>
      <x:c r="K11" s="26" t="n">
        <x:v>1</x:v>
      </x:c>
      <x:c r="L11" s="51" t="n">
        <x:f>IFERROR(K11/J11,0)</x:f>
        <x:v>1</x:v>
      </x:c>
      <x:c r="M11" s="26" t="str">
        <x:v>Application Submitted; verified pending application visible to Admin</x:v>
      </x:c>
      <x:c r="N11" s="26" t="str">
        <x:v>SPARK-197</x:v>
      </x:c>
      <x:c r="O11" s="26" t="str">
        <x:v>9952091294a9603ee53863fca2b454e6a11eb666</x:v>
      </x:c>
      <x:c r="P11" s="26" t="str">
        <x:v>UAT: image(20261029-102502).png; Admin pending screenshot</x:v>
      </x:c>
      <x:c r="Q11" s="26" t="str">
        <x:v>UAT / eligibility</x:v>
      </x:c>
    </x:row>
    <x:row r="12" ht="50" customHeight="1">
      <x:c r="B12" s="26" t="str">
        <x:v>[SP197-UAT-03]</x:v>
      </x:c>
      <x:c r="C12" s="26" t="str">
        <x:v>Pending Owner cannot access dashboard</x:v>
      </x:c>
      <x:c r="D12" s="26" t="str">
        <x:v>Sign in as Owner A before Admin approval</x:v>
      </x:c>
      <x:c r="E12" s="26" t="str">
        <x:v>Pending account does not reach Owner dashboard</x:v>
      </x:c>
      <x:c r="F12" s="26" t="str">
        <x:v>Owner A pending and verified</x:v>
      </x:c>
      <x:c r="G12" s="70" t="str">
        <x:v>Pass</x:v>
      </x:c>
      <x:c r="H12" s="26" t="str">
        <x:v>2026-10-29</x:v>
      </x:c>
      <x:c r="I12" s="26" t="str">
        <x:v>QA Tester</x:v>
      </x:c>
      <x:c r="J12" s="26" t="n">
        <x:v>1</x:v>
      </x:c>
      <x:c r="K12" s="26" t="n">
        <x:v>1</x:v>
      </x:c>
      <x:c r="L12" s="51" t="n">
        <x:f>IFERROR(K12/J12,0)</x:f>
        <x:v>1</x:v>
      </x:c>
      <x:c r="M12" s="26" t="str">
        <x:v>Sign-in returned Application Submitted (not dashboard); backend control not separately inspected</x:v>
      </x:c>
      <x:c r="N12" s="26" t="str">
        <x:v>SPARK-197</x:v>
      </x:c>
      <x:c r="O12" s="26" t="str">
        <x:v>9952091294a9603ee53863fca2b454e6a11eb666</x:v>
      </x:c>
      <x:c r="P12" s="26" t="str">
        <x:v>UAT user-confirmed sign-in; image(20261029-102844).png</x:v>
      </x:c>
      <x:c r="Q12" s="26" t="str">
        <x:v>UAT / access control</x:v>
      </x:c>
    </x:row>
    <x:row r="13" ht="50" customHeight="1">
      <x:c r="B13" s="26" t="str">
        <x:v>[SP197-UAT-04]</x:v>
      </x:c>
      <x:c r="C13" s="26" t="str">
        <x:v>Admin application review details</x:v>
      </x:c>
      <x:c r="D13" s="26" t="str">
        <x:v>Admin view pending applications; expand lot setup</x:v>
      </x:c>
      <x:c r="E13" s="26" t="str">
        <x:v>Business details, contact verification, setup/rates visible</x:v>
      </x:c>
      <x:c r="F13" s="26" t="str">
        <x:v>Admin session; Owner A/B pending at relevant time</x:v>
      </x:c>
      <x:c r="G13" s="70" t="str">
        <x:v>Pass</x:v>
      </x:c>
      <x:c r="H13" s="26" t="str">
        <x:v>2026-10-29</x:v>
      </x:c>
      <x:c r="I13" s="26" t="str">
        <x:v>QA Tester</x:v>
      </x:c>
      <x:c r="J13" s="26" t="n">
        <x:v>1</x:v>
      </x:c>
      <x:c r="K13" s="26" t="n">
        <x:v>1</x:v>
      </x:c>
      <x:c r="L13" s="51" t="n">
        <x:f>IFERROR(K13/J13,0)</x:f>
        <x:v>1</x:v>
      </x:c>
      <x:c r="M13" s="26" t="str">
        <x:v>Admin listed requests and showed lot setup and rates</x:v>
      </x:c>
      <x:c r="N13" s="26" t="str">
        <x:v>SPARK-197</x:v>
      </x:c>
      <x:c r="O13" s="26" t="str">
        <x:v>9952091294a9603ee53863fca2b454e6a11eb666</x:v>
      </x:c>
      <x:c r="P13" s="26" t="str">
        <x:v>UAT: image(20261029-105428).png (Owner B)</x:v>
      </x:c>
      <x:c r="Q13" s="26" t="str">
        <x:v>UAT / admin detail</x:v>
      </x:c>
    </x:row>
    <x:row r="14" ht="50" customHeight="1">
      <x:c r="B14" s="26" t="str">
        <x:v>[SP197-UAT-05]</x:v>
      </x:c>
      <x:c r="C14" s="26" t="str">
        <x:v>Admin approves Owner A with review note</x:v>
      </x:c>
      <x:c r="D14" s="26" t="str">
        <x:v>Admin Approve only SPARK197 QA Parking A; refresh</x:v>
      </x:c>
      <x:c r="E14" s="26" t="str">
        <x:v>Application approved; review note persisted; pending item removed</x:v>
      </x:c>
      <x:c r="F14" s="26" t="str">
        <x:v>Verified eligible Owner A pending</x:v>
      </x:c>
      <x:c r="G14" s="70" t="str">
        <x:v>Pass</x:v>
      </x:c>
      <x:c r="H14" s="26" t="str">
        <x:v>2026-10-29</x:v>
      </x:c>
      <x:c r="I14" s="26" t="str">
        <x:v>QA Tester</x:v>
      </x:c>
      <x:c r="J14" s="26" t="n">
        <x:v>1</x:v>
      </x:c>
      <x:c r="K14" s="26" t="n">
        <x:v>1</x:v>
      </x:c>
      <x:c r="L14" s="51" t="n">
        <x:f>IFERROR(K14/J14,0)</x:f>
        <x:v>1</x:v>
      </x:c>
      <x:c r="M14" s="26" t="str">
        <x:v>APPROVED, Previously Reviewed; review note shown</x:v>
      </x:c>
      <x:c r="N14" s="26" t="str">
        <x:v>SPARK-197</x:v>
      </x:c>
      <x:c r="O14" s="26" t="str">
        <x:v>9952091294a9603ee53863fca2b454e6a11eb666</x:v>
      </x:c>
      <x:c r="P14" s="26" t="str">
        <x:v>EV-UAT-01: SP197_Admin_Final_Decisions.png; original image(20261029-103346).png</x:v>
      </x:c>
      <x:c r="Q14" s="26" t="str">
        <x:v>UAT / approve</x:v>
      </x:c>
    </x:row>
    <x:row r="15" ht="50" customHeight="1">
      <x:c r="B15" s="26" t="str">
        <x:v>[SP197-UAT-06]</x:v>
      </x:c>
      <x:c r="C15" s="26" t="str">
        <x:v>Approved Owner access + site activation</x:v>
      </x:c>
      <x:c r="D15" s="26" t="str">
        <x:v>Sign in as Owner A; inspect Owner Overview, Site &amp; Staff</x:v>
      </x:c>
      <x:c r="E15" s="26" t="str">
        <x:v>Approved Owner accesses dashboard and has active site</x:v>
      </x:c>
      <x:c r="F15" s="26" t="str">
        <x:v>Admin approval persisted</x:v>
      </x:c>
      <x:c r="G15" s="70" t="str">
        <x:v>Pass</x:v>
      </x:c>
      <x:c r="H15" s="26" t="str">
        <x:v>2026-10-29</x:v>
      </x:c>
      <x:c r="I15" s="26" t="str">
        <x:v>QA Tester</x:v>
      </x:c>
      <x:c r="J15" s="26" t="n">
        <x:v>1</x:v>
      </x:c>
      <x:c r="K15" s="26" t="n">
        <x:v>1</x:v>
      </x:c>
      <x:c r="L15" s="51" t="n">
        <x:f>IFERROR(K15/J15,0)</x:f>
        <x:v>1</x:v>
      </x:c>
      <x:c r="M15" s="26" t="str">
        <x:v>Owner Overview accessible; 1 site ACTIVE; physical slots 0</x:v>
      </x:c>
      <x:c r="N15" s="26" t="str">
        <x:v>SPARK-197</x:v>
      </x:c>
      <x:c r="O15" s="26" t="str">
        <x:v>9952091294a9603ee53863fca2b454e6a11eb666</x:v>
      </x:c>
      <x:c r="P15" s="26" t="str">
        <x:v>EV-UAT-04: SP197_Owner_Approved_Dashboard.png; originals image(20261029-103429).png, image(20261029-103529).png</x:v>
      </x:c>
      <x:c r="Q15" s="26" t="str">
        <x:v>UAT / cross-service</x:v>
      </x:c>
    </x:row>
    <x:row r="16" ht="50" customHeight="1">
      <x:c r="B16" s="26" t="str">
        <x:v>[SP197-UAT-07]</x:v>
      </x:c>
      <x:c r="C16" s="26" t="str">
        <x:v>Admin rejects Owner B with review note</x:v>
      </x:c>
      <x:c r="D16" s="26" t="str">
        <x:v>Create and verify Owner B; Admin select Reject with QA review note</x:v>
      </x:c>
      <x:c r="E16" s="26" t="str">
        <x:v>Application rejected; reason retained; Owner A remains approved</x:v>
      </x:c>
      <x:c r="F16" s="26" t="str">
        <x:v>Verified QA Owner B pending</x:v>
      </x:c>
      <x:c r="G16" s="70" t="str">
        <x:v>Pass</x:v>
      </x:c>
      <x:c r="H16" s="26" t="str">
        <x:v>2026-10-29</x:v>
      </x:c>
      <x:c r="I16" s="26" t="str">
        <x:v>QA Tester</x:v>
      </x:c>
      <x:c r="J16" s="26" t="n">
        <x:v>1</x:v>
      </x:c>
      <x:c r="K16" s="26" t="n">
        <x:v>1</x:v>
      </x:c>
      <x:c r="L16" s="51" t="n">
        <x:f>IFERROR(K16/J16,0)</x:f>
        <x:v>1</x:v>
      </x:c>
      <x:c r="M16" s="26" t="str">
        <x:v>REJECTED listed Previously Reviewed; QA review note retained; A still APPROVED</x:v>
      </x:c>
      <x:c r="N16" s="26" t="str">
        <x:v>SPARK-197</x:v>
      </x:c>
      <x:c r="O16" s="26" t="str">
        <x:v>9952091294a9603ee53863fca2b454e6a11eb666</x:v>
      </x:c>
      <x:c r="P16" s="26" t="str">
        <x:v>EV-UAT-01: SP197_Admin_Final_Decisions.png; original image(20261029-105436).png</x:v>
      </x:c>
      <x:c r="Q16" s="26" t="str">
        <x:v>UAT / reject</x:v>
      </x:c>
    </x:row>
    <x:row r="17" ht="50" customHeight="1">
      <x:c r="B17" s="26" t="str">
        <x:v>[SP197-UAT-08]</x:v>
      </x:c>
      <x:c r="C17" s="26" t="str">
        <x:v>Rejected Owner cannot log in</x:v>
      </x:c>
      <x:c r="D17" s="26" t="str">
        <x:v>After rejecting Owner B, attempt password sign in</x:v>
      </x:c>
      <x:c r="E17" s="26" t="str">
        <x:v>No Owner dashboard; explicit rejected-application error</x:v>
      </x:c>
      <x:c r="F17" s="26" t="str">
        <x:v>Owner B REJECTED</x:v>
      </x:c>
      <x:c r="G17" s="70" t="str">
        <x:v>Pass</x:v>
      </x:c>
      <x:c r="H17" s="26" t="str">
        <x:v>2026-10-29</x:v>
      </x:c>
      <x:c r="I17" s="26" t="str">
        <x:v>QA Tester</x:v>
      </x:c>
      <x:c r="J17" s="26" t="n">
        <x:v>1</x:v>
      </x:c>
      <x:c r="K17" s="26" t="n">
        <x:v>1</x:v>
      </x:c>
      <x:c r="L17" s="51" t="n">
        <x:f>IFERROR(K17/J17,0)</x:f>
        <x:v>1</x:v>
      </x:c>
      <x:c r="M17" s="26" t="str">
        <x:v>Error: Your account application was rejected. Please contact the administrator.</x:v>
      </x:c>
      <x:c r="N17" s="26" t="str">
        <x:v>SPARK-197</x:v>
      </x:c>
      <x:c r="O17" s="26" t="str">
        <x:v>9952091294a9603ee53863fca2b454e6a11eb666</x:v>
      </x:c>
      <x:c r="P17" s="26" t="str">
        <x:v>EV-UAT-02: SP197_Rejected_Login.png; original image(20261029-105544).png</x:v>
      </x:c>
      <x:c r="Q17" s="26" t="str">
        <x:v>UAT / access control</x:v>
      </x:c>
    </x:row>
    <x:row r="18" ht="50" customHeight="1">
      <x:c r="B18" s="26" t="str">
        <x:v>[SP197-UAT-09]</x:v>
      </x:c>
      <x:c r="C18" s="26" t="str">
        <x:v>Approval email delivered to real inbox</x:v>
      </x:c>
      <x:c r="D18" s="26" t="str">
        <x:v>Inspect test mailbox for Owner A decision</x:v>
      </x:c>
      <x:c r="E18" s="26" t="str">
        <x:v>Approved decision email is received</x:v>
      </x:c>
      <x:c r="F18" s="26" t="str">
        <x:v>Owner A approved; mail delivery worker active</x:v>
      </x:c>
      <x:c r="G18" s="70" t="str">
        <x:v>Pass</x:v>
      </x:c>
      <x:c r="H18" s="26" t="str">
        <x:v>2026-10-29</x:v>
      </x:c>
      <x:c r="I18" s="26" t="str">
        <x:v>QA Tester</x:v>
      </x:c>
      <x:c r="J18" s="26" t="n">
        <x:v>1</x:v>
      </x:c>
      <x:c r="K18" s="26" t="n">
        <x:v>1</x:v>
      </x:c>
      <x:c r="L18" s="51" t="n">
        <x:f>IFERROR(K18/J18,0)</x:f>
        <x:v>1</x:v>
      </x:c>
      <x:c r="M18" s="26" t="str">
        <x:v>Gmail: Your application is approved.; Admin notification sent</x:v>
      </x:c>
      <x:c r="N18" s="26" t="str">
        <x:v>SPARK-197</x:v>
      </x:c>
      <x:c r="O18" s="26" t="str">
        <x:v>9952091294a9603ee53863fca2b454e6a11eb666</x:v>
      </x:c>
      <x:c r="P18" s="26" t="str">
        <x:v>EV-UAT-03: SP197_Approval_Rejection_Emails_Redacted.png; original image(20261029-105620).png</x:v>
      </x:c>
      <x:c r="Q18" s="26" t="str">
        <x:v>UAT / notification</x:v>
      </x:c>
    </x:row>
    <x:row r="19" ht="50" customHeight="1">
      <x:c r="B19" s="26" t="str">
        <x:v>[SP197-UAT-10]</x:v>
      </x:c>
      <x:c r="C19" s="26" t="str">
        <x:v>Rejection email delivered to real inbox</x:v>
      </x:c>
      <x:c r="D19" s="26" t="str">
        <x:v>Inspect test mailbox for Owner B decision</x:v>
      </x:c>
      <x:c r="E19" s="26" t="str">
        <x:v>Rejected decision email is received</x:v>
      </x:c>
      <x:c r="F19" s="26" t="str">
        <x:v>Owner B rejected; mail delivery worker active</x:v>
      </x:c>
      <x:c r="G19" s="70" t="str">
        <x:v>Pass</x:v>
      </x:c>
      <x:c r="H19" s="26" t="str">
        <x:v>2026-10-29</x:v>
      </x:c>
      <x:c r="I19" s="26" t="str">
        <x:v>QA Tester</x:v>
      </x:c>
      <x:c r="J19" s="26" t="n">
        <x:v>1</x:v>
      </x:c>
      <x:c r="K19" s="26" t="n">
        <x:v>1</x:v>
      </x:c>
      <x:c r="L19" s="51" t="n">
        <x:f>IFERROR(K19/J19,0)</x:f>
        <x:v>1</x:v>
      </x:c>
      <x:c r="M19" s="26" t="str">
        <x:v>Gmail: Your application is rejected.; Admin notification sent</x:v>
      </x:c>
      <x:c r="N19" s="26" t="str">
        <x:v>SPARK-197</x:v>
      </x:c>
      <x:c r="O19" s="26" t="str">
        <x:v>9952091294a9603ee53863fca2b454e6a11eb666</x:v>
      </x:c>
      <x:c r="P19" s="26" t="str">
        <x:v>EV-UAT-03: SP197_Approval_Rejection_Emails_Redacted.png; original image(20261029-105620).png</x:v>
      </x:c>
      <x:c r="Q19" s="26" t="str">
        <x:v>UAT / notification</x:v>
      </x:c>
    </x:row>
    <x:row r="20" ht="50" customHeight="1">
      <x:c r="B20" s="26" t="str">
        <x:v>[SP197-API-01]</x:v>
      </x:c>
      <x:c r="C20" s="26" t="str">
        <x:v>Anonymous GET applications list</x:v>
      </x:c>
      <x:c r="D20" s="26" t="str">
        <x:v>Without bearer JWT, GET /api/owner-applications</x:v>
      </x:c>
      <x:c r="E20" s="26" t="str">
        <x:v>HTTP 401, no application data</x:v>
      </x:c>
      <x:c r="F20" s="26" t="str">
        <x:v>QA UserService running</x:v>
      </x:c>
      <x:c r="G20" s="70" t="str">
        <x:v>Pass</x:v>
      </x:c>
      <x:c r="H20" s="26" t="str">
        <x:v>2026-10-29</x:v>
      </x:c>
      <x:c r="I20" s="26" t="str">
        <x:v>QA Tester</x:v>
      </x:c>
      <x:c r="J20" s="26" t="n">
        <x:v>1</x:v>
      </x:c>
      <x:c r="K20" s="26" t="n">
        <x:v>1</x:v>
      </x:c>
      <x:c r="L20" s="51" t="n">
        <x:f>IFERROR(K20/J20,0)</x:f>
        <x:v>1</x:v>
      </x:c>
      <x:c r="M20" s="26" t="str">
        <x:v>Newman: HTTP 401; 1 assertion(s) PASS</x:v>
      </x:c>
      <x:c r="N20" s="26" t="str">
        <x:v>SPARK-197</x:v>
      </x:c>
      <x:c r="O20" s="26" t="str">
        <x:v>9952091294a9603ee53863fca2b454e6a11eb666</x:v>
      </x:c>
      <x:c r="P20" s="26" t="str">
        <x:v>SPARK-197-Newman-Sanitized-Result.json; Anonymous list</x:v>
      </x:c>
      <x:c r="Q20" s="26" t="str">
        <x:v>AUTH / no token</x:v>
      </x:c>
    </x:row>
    <x:row r="21" ht="50" customHeight="1">
      <x:c r="B21" s="26" t="str">
        <x:v>[SP197-API-02]</x:v>
      </x:c>
      <x:c r="C21" s="26" t="str">
        <x:v>Anonymous GET application detail</x:v>
      </x:c>
      <x:c r="D21" s="26" t="str">
        <x:v>Without JWT, GET /api/owner-applications/{zero-guid}</x:v>
      </x:c>
      <x:c r="E21" s="26" t="str">
        <x:v>HTTP 401</x:v>
      </x:c>
      <x:c r="F21" s="26" t="str">
        <x:v>QA UserService running</x:v>
      </x:c>
      <x:c r="G21" s="70" t="str">
        <x:v>Pass</x:v>
      </x:c>
      <x:c r="H21" s="26" t="str">
        <x:v>2026-10-29</x:v>
      </x:c>
      <x:c r="I21" s="26" t="str">
        <x:v>QA Tester</x:v>
      </x:c>
      <x:c r="J21" s="26" t="n">
        <x:v>1</x:v>
      </x:c>
      <x:c r="K21" s="26" t="n">
        <x:v>1</x:v>
      </x:c>
      <x:c r="L21" s="51" t="n">
        <x:f>IFERROR(K21/J21,0)</x:f>
        <x:v>1</x:v>
      </x:c>
      <x:c r="M21" s="26" t="str">
        <x:v>Newman: HTTP 401; 1 assertion(s) PASS</x:v>
      </x:c>
      <x:c r="N21" s="26" t="str">
        <x:v>SPARK-197</x:v>
      </x:c>
      <x:c r="O21" s="26" t="str">
        <x:v>9952091294a9603ee53863fca2b454e6a11eb666</x:v>
      </x:c>
      <x:c r="P21" s="26" t="str">
        <x:v>SPARK-197-Newman-Sanitized-Result.json; Anonymous detail</x:v>
      </x:c>
      <x:c r="Q21" s="26" t="str">
        <x:v>AUTH / no token</x:v>
      </x:c>
    </x:row>
    <x:row r="22" ht="50" customHeight="1">
      <x:c r="B22" s="26" t="str">
        <x:v>[SP197-API-03]</x:v>
      </x:c>
      <x:c r="C22" s="26" t="str">
        <x:v>Anonymous PATCH decision blocked</x:v>
      </x:c>
      <x:c r="D22" s="26" t="str">
        <x:v>Without JWT, PATCH /api/owner-applications/{zero-guid}/review</x:v>
      </x:c>
      <x:c r="E22" s="26" t="str">
        <x:v>HTTP 401; no review</x:v>
      </x:c>
      <x:c r="F22" s="26" t="str">
        <x:v>QA UserService running</x:v>
      </x:c>
      <x:c r="G22" s="70" t="str">
        <x:v>Pass</x:v>
      </x:c>
      <x:c r="H22" s="26" t="str">
        <x:v>2026-10-29</x:v>
      </x:c>
      <x:c r="I22" s="26" t="str">
        <x:v>QA Tester</x:v>
      </x:c>
      <x:c r="J22" s="26" t="n">
        <x:v>1</x:v>
      </x:c>
      <x:c r="K22" s="26" t="n">
        <x:v>1</x:v>
      </x:c>
      <x:c r="L22" s="51" t="n">
        <x:f>IFERROR(K22/J22,0)</x:f>
        <x:v>1</x:v>
      </x:c>
      <x:c r="M22" s="26" t="str">
        <x:v>Newman: HTTP 401; 1 assertion(s) PASS</x:v>
      </x:c>
      <x:c r="N22" s="26" t="str">
        <x:v>SPARK-197</x:v>
      </x:c>
      <x:c r="O22" s="26" t="str">
        <x:v>9952091294a9603ee53863fca2b454e6a11eb666</x:v>
      </x:c>
      <x:c r="P22" s="26" t="str">
        <x:v>SPARK-197-Newman-Sanitized-Result.json; Anonymous review denied</x:v>
      </x:c>
      <x:c r="Q22" s="26" t="str">
        <x:v>AUTH / no token</x:v>
      </x:c>
    </x:row>
    <x:row r="23" ht="50" customHeight="1">
      <x:c r="B23" s="26" t="str">
        <x:v>[SP197-API-04]</x:v>
      </x:c>
      <x:c r="C23" s="26" t="str">
        <x:v>Owner GET applications list denied</x:v>
      </x:c>
      <x:c r="D23" s="26" t="str">
        <x:v>Owner A valid token; GET /api/owner-applications</x:v>
      </x:c>
      <x:c r="E23" s="26" t="str">
        <x:v>HTTP 403</x:v>
      </x:c>
      <x:c r="F23" s="26" t="str">
        <x:v>Owner A approved; valid Owner JWT</x:v>
      </x:c>
      <x:c r="G23" s="70" t="str">
        <x:v>Pass</x:v>
      </x:c>
      <x:c r="H23" s="26" t="str">
        <x:v>2026-10-29</x:v>
      </x:c>
      <x:c r="I23" s="26" t="str">
        <x:v>QA Tester</x:v>
      </x:c>
      <x:c r="J23" s="26" t="n">
        <x:v>1</x:v>
      </x:c>
      <x:c r="K23" s="26" t="n">
        <x:v>1</x:v>
      </x:c>
      <x:c r="L23" s="51" t="n">
        <x:f>IFERROR(K23/J23,0)</x:f>
        <x:v>1</x:v>
      </x:c>
      <x:c r="M23" s="26" t="str">
        <x:v>Newman: HTTP 403; 1 assertion(s) PASS</x:v>
      </x:c>
      <x:c r="N23" s="26" t="str">
        <x:v>SPARK-197</x:v>
      </x:c>
      <x:c r="O23" s="26" t="str">
        <x:v>9952091294a9603ee53863fca2b454e6a11eb666</x:v>
      </x:c>
      <x:c r="P23" s="26" t="str">
        <x:v>SPARK-197-Newman-Sanitized-Result.json; Owner list denied</x:v>
      </x:c>
      <x:c r="Q23" s="26" t="str">
        <x:v>AUTH / owner scope</x:v>
      </x:c>
    </x:row>
    <x:row r="24" ht="50" customHeight="1">
      <x:c r="B24" s="26" t="str">
        <x:v>[SP197-API-05]</x:v>
      </x:c>
      <x:c r="C24" s="26" t="str">
        <x:v>Owner GET detail denied</x:v>
      </x:c>
      <x:c r="D24" s="26" t="str">
        <x:v>Owner A valid token; GET /api/owner-applications/{zero-guid}</x:v>
      </x:c>
      <x:c r="E24" s="26" t="str">
        <x:v>HTTP 403</x:v>
      </x:c>
      <x:c r="F24" s="26" t="str">
        <x:v>Owner A approved; valid Owner JWT</x:v>
      </x:c>
      <x:c r="G24" s="70" t="str">
        <x:v>Pass</x:v>
      </x:c>
      <x:c r="H24" s="26" t="str">
        <x:v>2026-10-29</x:v>
      </x:c>
      <x:c r="I24" s="26" t="str">
        <x:v>QA Tester</x:v>
      </x:c>
      <x:c r="J24" s="26" t="n">
        <x:v>1</x:v>
      </x:c>
      <x:c r="K24" s="26" t="n">
        <x:v>1</x:v>
      </x:c>
      <x:c r="L24" s="51" t="n">
        <x:f>IFERROR(K24/J24,0)</x:f>
        <x:v>1</x:v>
      </x:c>
      <x:c r="M24" s="26" t="str">
        <x:v>Newman: HTTP 403; 1 assertion(s) PASS</x:v>
      </x:c>
      <x:c r="N24" s="26" t="str">
        <x:v>SPARK-197</x:v>
      </x:c>
      <x:c r="O24" s="26" t="str">
        <x:v>9952091294a9603ee53863fca2b454e6a11eb666</x:v>
      </x:c>
      <x:c r="P24" s="26" t="str">
        <x:v>SPARK-197-Newman-Sanitized-Result.json; Owner detail denied</x:v>
      </x:c>
      <x:c r="Q24" s="26" t="str">
        <x:v>AUTH / owner scope</x:v>
      </x:c>
    </x:row>
    <x:row r="25" ht="50" customHeight="1">
      <x:c r="B25" s="26" t="str">
        <x:v>[SP197-API-06]</x:v>
      </x:c>
      <x:c r="C25" s="26" t="str">
        <x:v>Owner PATCH decision denied</x:v>
      </x:c>
      <x:c r="D25" s="26" t="str">
        <x:v>Owner A valid token; PATCH /api/owner-applications/{zero-guid}/review</x:v>
      </x:c>
      <x:c r="E25" s="26" t="str">
        <x:v>HTTP 403; no review</x:v>
      </x:c>
      <x:c r="F25" s="26" t="str">
        <x:v>Owner A approved; valid Owner JWT</x:v>
      </x:c>
      <x:c r="G25" s="70" t="str">
        <x:v>Pass</x:v>
      </x:c>
      <x:c r="H25" s="26" t="str">
        <x:v>2026-10-29</x:v>
      </x:c>
      <x:c r="I25" s="26" t="str">
        <x:v>QA Tester</x:v>
      </x:c>
      <x:c r="J25" s="26" t="n">
        <x:v>1</x:v>
      </x:c>
      <x:c r="K25" s="26" t="n">
        <x:v>1</x:v>
      </x:c>
      <x:c r="L25" s="51" t="n">
        <x:f>IFERROR(K25/J25,0)</x:f>
        <x:v>1</x:v>
      </x:c>
      <x:c r="M25" s="26" t="str">
        <x:v>Newman: HTTP 403; 1 assertion(s) PASS</x:v>
      </x:c>
      <x:c r="N25" s="26" t="str">
        <x:v>SPARK-197</x:v>
      </x:c>
      <x:c r="O25" s="26" t="str">
        <x:v>9952091294a9603ee53863fca2b454e6a11eb666</x:v>
      </x:c>
      <x:c r="P25" s="26" t="str">
        <x:v>SPARK-197-Newman-Sanitized-Result.json; Owner review denied</x:v>
      </x:c>
      <x:c r="Q25" s="26" t="str">
        <x:v>AUTH / owner scope</x:v>
      </x:c>
    </x:row>
    <x:row r="26" ht="50" customHeight="1">
      <x:c r="B26" s="26" t="str">
        <x:v>[SP197-API-07]</x:v>
      </x:c>
      <x:c r="C26" s="26" t="str">
        <x:v>Admin lists applications</x:v>
      </x:c>
      <x:c r="D26" s="26" t="str">
        <x:v>Admin valid token; GET /api/owner-applications</x:v>
      </x:c>
      <x:c r="E26" s="26" t="str">
        <x:v>HTTP 200; QA A approved and B rejected</x:v>
      </x:c>
      <x:c r="F26" s="26" t="str">
        <x:v>Admin active; existing QA applications</x:v>
      </x:c>
      <x:c r="G26" s="70" t="str">
        <x:v>Pass</x:v>
      </x:c>
      <x:c r="H26" s="26" t="str">
        <x:v>2026-10-29</x:v>
      </x:c>
      <x:c r="I26" s="26" t="str">
        <x:v>QA Tester</x:v>
      </x:c>
      <x:c r="J26" s="26" t="n">
        <x:v>1</x:v>
      </x:c>
      <x:c r="K26" s="26" t="n">
        <x:v>1</x:v>
      </x:c>
      <x:c r="L26" s="51" t="n">
        <x:f>IFERROR(K26/J26,0)</x:f>
        <x:v>1</x:v>
      </x:c>
      <x:c r="M26" s="26" t="str">
        <x:v>Newman: HTTP 200; 2 assertion(s) PASS; A approved / B rejected in list</x:v>
      </x:c>
      <x:c r="N26" s="26" t="str">
        <x:v>SPARK-197</x:v>
      </x:c>
      <x:c r="O26" s="26" t="str">
        <x:v>9952091294a9603ee53863fca2b454e6a11eb666</x:v>
      </x:c>
      <x:c r="P26" s="26" t="str">
        <x:v>SPARK-197-Newman-Sanitized-Result.json; Admin list</x:v>
      </x:c>
      <x:c r="Q26" s="26" t="str">
        <x:v>API / admin list</x:v>
      </x:c>
    </x:row>
    <x:row r="27" ht="50" customHeight="1">
      <x:c r="B27" s="26" t="str">
        <x:v>[SP197-API-08]</x:v>
      </x:c>
      <x:c r="C27" s="26" t="str">
        <x:v>Admin reads Approved Owner A</x:v>
      </x:c>
      <x:c r="D27" s="26" t="str">
        <x:v>Admin valid token; GET detail with A ID read from list</x:v>
      </x:c>
      <x:c r="E27" s="26" t="str">
        <x:v>HTTP 200; approved; reviewer/time and sent status present</x:v>
      </x:c>
      <x:c r="F27" s="26" t="str">
        <x:v>Admin active; A approved</x:v>
      </x:c>
      <x:c r="G27" s="70" t="str">
        <x:v>Pass</x:v>
      </x:c>
      <x:c r="H27" s="26" t="str">
        <x:v>2026-10-29</x:v>
      </x:c>
      <x:c r="I27" s="26" t="str">
        <x:v>QA Tester</x:v>
      </x:c>
      <x:c r="J27" s="26" t="n">
        <x:v>1</x:v>
      </x:c>
      <x:c r="K27" s="26" t="n">
        <x:v>1</x:v>
      </x:c>
      <x:c r="L27" s="51" t="n">
        <x:f>IFERROR(K27/J27,0)</x:f>
        <x:v>1</x:v>
      </x:c>
      <x:c r="M27" s="26" t="str">
        <x:v>Newman: HTTP 200; 4 assertion(s) PASS; reviewedBy/reviewedAt present, deliveryStatus sent</x:v>
      </x:c>
      <x:c r="N27" s="26" t="str">
        <x:v>SPARK-197</x:v>
      </x:c>
      <x:c r="O27" s="26" t="str">
        <x:v>9952091294a9603ee53863fca2b454e6a11eb666</x:v>
      </x:c>
      <x:c r="P27" s="26" t="str">
        <x:v>SPARK-197-Newman-Sanitized-Result.json; Admin detail A</x:v>
      </x:c>
      <x:c r="Q27" s="26" t="str">
        <x:v>API / detail audit</x:v>
      </x:c>
    </x:row>
    <x:row r="28" ht="50" customHeight="1">
      <x:c r="B28" s="26" t="str">
        <x:v>[SP197-API-09]</x:v>
      </x:c>
      <x:c r="C28" s="26" t="str">
        <x:v>Admin reads Rejected Owner B</x:v>
      </x:c>
      <x:c r="D28" s="26" t="str">
        <x:v>Admin valid token; GET detail with B ID read from list</x:v>
      </x:c>
      <x:c r="E28" s="26" t="str">
        <x:v>HTTP 200; rejected; reviewer/time and sent status present</x:v>
      </x:c>
      <x:c r="F28" s="26" t="str">
        <x:v>Admin active; B rejected</x:v>
      </x:c>
      <x:c r="G28" s="70" t="str">
        <x:v>Pass</x:v>
      </x:c>
      <x:c r="H28" s="26" t="str">
        <x:v>2026-10-29</x:v>
      </x:c>
      <x:c r="I28" s="26" t="str">
        <x:v>QA Tester</x:v>
      </x:c>
      <x:c r="J28" s="26" t="n">
        <x:v>1</x:v>
      </x:c>
      <x:c r="K28" s="26" t="n">
        <x:v>1</x:v>
      </x:c>
      <x:c r="L28" s="51" t="n">
        <x:f>IFERROR(K28/J28,0)</x:f>
        <x:v>1</x:v>
      </x:c>
      <x:c r="M28" s="26" t="str">
        <x:v>Newman: HTTP 200; 4 assertion(s) PASS; reviewedBy/reviewedAt present, deliveryStatus sent</x:v>
      </x:c>
      <x:c r="N28" s="26" t="str">
        <x:v>SPARK-197</x:v>
      </x:c>
      <x:c r="O28" s="26" t="str">
        <x:v>9952091294a9603ee53863fca2b454e6a11eb666</x:v>
      </x:c>
      <x:c r="P28" s="26" t="str">
        <x:v>SPARK-197-Newman-Sanitized-Result.json; Admin detail B</x:v>
      </x:c>
      <x:c r="Q28" s="26" t="str">
        <x:v>API / detail audit</x:v>
      </x:c>
    </x:row>
    <x:row r="29" ht="50" customHeight="1">
      <x:c r="B29" s="26" t="str">
        <x:v>[SP197-API-10]</x:v>
      </x:c>
      <x:c r="C29" s="26" t="str">
        <x:v>Admin GET nonexistent ID</x:v>
      </x:c>
      <x:c r="D29" s="26" t="str">
        <x:v>Admin valid token; GET /api/owner-applications/{zero-guid}</x:v>
      </x:c>
      <x:c r="E29" s="26" t="str">
        <x:v>HTTP 404; no record</x:v>
      </x:c>
      <x:c r="F29" s="26" t="str">
        <x:v>Admin active; zero GUID non-existent</x:v>
      </x:c>
      <x:c r="G29" s="70" t="str">
        <x:v>Pass</x:v>
      </x:c>
      <x:c r="H29" s="26" t="str">
        <x:v>2026-10-29</x:v>
      </x:c>
      <x:c r="I29" s="26" t="str">
        <x:v>QA Tester</x:v>
      </x:c>
      <x:c r="J29" s="26" t="n">
        <x:v>1</x:v>
      </x:c>
      <x:c r="K29" s="26" t="n">
        <x:v>1</x:v>
      </x:c>
      <x:c r="L29" s="51" t="n">
        <x:f>IFERROR(K29/J29,0)</x:f>
        <x:v>1</x:v>
      </x:c>
      <x:c r="M29" s="26" t="str">
        <x:v>Newman: HTTP 404; 1 assertion(s) PASS</x:v>
      </x:c>
      <x:c r="N29" s="26" t="str">
        <x:v>SPARK-197</x:v>
      </x:c>
      <x:c r="O29" s="26" t="str">
        <x:v>9952091294a9603ee53863fca2b454e6a11eb666</x:v>
      </x:c>
      <x:c r="P29" s="26" t="str">
        <x:v>SPARK-197-Newman-Sanitized-Result.json; Admin nonexistent ID</x:v>
      </x:c>
      <x:c r="Q29" s="26" t="str">
        <x:v>API / negative 404</x:v>
      </x:c>
    </x:row>
    <x:row r="30" ht="50" customHeight="1">
      <x:c r="B30" s="26" t="str">
        <x:v>[SP197-GAP-01]</x:v>
      </x:c>
      <x:c r="C30" s="26" t="str">
        <x:v>Duplicate approval via live API</x:v>
      </x:c>
      <x:c r="D30" s="26" t="str">
        <x:v>Replay approve request on already-approved QA application with authorized Admin</x:v>
      </x:c>
      <x:c r="E30" s="26" t="str">
        <x:v>Defined idempotent result; no second provisioning/email</x:v>
      </x:c>
      <x:c r="F30" s="26" t="str">
        <x:v>Dedicated isolated fixture + approval operation IDs</x:v>
      </x:c>
      <x:c r="G30" s="72" t="str">
        <x:v>Untested</x:v>
      </x:c>
      <x:c r="H30" s="26"/>
      <x:c r="I30" s="26"/>
      <x:c r="J30" s="26" t="n">
        <x:v>1</x:v>
      </x:c>
      <x:c r="K30" s="26" t="n">
        <x:v>0</x:v>
      </x:c>
      <x:c r="L30" s="51" t="n">
        <x:f>IFERROR(K30/J30,0)</x:f>
        <x:v>0</x:v>
      </x:c>
      <x:c r="M30" s="26" t="str">
        <x:v>Unit duplicate/replay assertions reviewed; not run live</x:v>
      </x:c>
      <x:c r="N30" s="26" t="str">
        <x:v>SPARK-197</x:v>
      </x:c>
      <x:c r="O30" s="26" t="str">
        <x:v>9952091294a9603ee53863fca2b454e6a11eb666</x:v>
      </x:c>
      <x:c r="P30" s="26" t="str">
        <x:v>Jira SPARK-197; OwnerRegistrationService.cs; developer test review</x:v>
      </x:c>
      <x:c r="Q30" s="26" t="str">
        <x:v>TEST / duplicate approval</x:v>
      </x:c>
    </x:row>
    <x:row r="31" ht="50" customHeight="1">
      <x:c r="B31" s="26" t="str">
        <x:v>[SP197-GAP-02]</x:v>
      </x:c>
      <x:c r="C31" s="26" t="str">
        <x:v>Two Admins concurrent approval</x:v>
      </x:c>
      <x:c r="D31" s="26" t="str">
        <x:v>Concurrent POST/PATCH review on same new QA pending application</x:v>
      </x:c>
      <x:c r="E31" s="26" t="str">
        <x:v>Exactly one effective decision; audit and remote side effect consistent</x:v>
      </x:c>
      <x:c r="F31" s="26" t="str">
        <x:v>Two independent authorized Admin sessions and dedicated fixture</x:v>
      </x:c>
      <x:c r="G31" s="72" t="str">
        <x:v>Untested</x:v>
      </x:c>
      <x:c r="H31" s="26"/>
      <x:c r="I31" s="26"/>
      <x:c r="J31" s="26" t="n">
        <x:v>1</x:v>
      </x:c>
      <x:c r="K31" s="26" t="n">
        <x:v>0</x:v>
      </x:c>
      <x:c r="L31" s="51" t="n">
        <x:f>IFERROR(K31/J31,0)</x:f>
        <x:v>0</x:v>
      </x:c>
      <x:c r="M31" s="26" t="str">
        <x:v>Prior integration/coordination coverage noted; no real two-Admin HTTP concurrency evidence</x:v>
      </x:c>
      <x:c r="N31" s="26" t="str">
        <x:v>SPARK-197</x:v>
      </x:c>
      <x:c r="O31" s="26" t="str">
        <x:v>9952091294a9603ee53863fca2b454e6a11eb666</x:v>
      </x:c>
      <x:c r="P31" s="26" t="str">
        <x:v>Jira SPARK-197; OwnerRegistrationService.cs; developer test review</x:v>
      </x:c>
      <x:c r="Q31" s="26" t="str">
        <x:v>TEST / concurrency</x:v>
      </x:c>
    </x:row>
    <x:row r="32" ht="50" customHeight="1">
      <x:c r="B32" s="26" t="str">
        <x:v>[SP197-GAP-03]</x:v>
      </x:c>
      <x:c r="C32" s="26" t="str">
        <x:v>Permission revocation of active Admin JWT</x:v>
      </x:c>
      <x:c r="D32" s="26" t="str">
        <x:v>Issue valid token; revoke ACCOUNT_ADMIN/active Admin then call review</x:v>
      </x:c>
      <x:c r="E32" s="26" t="str">
        <x:v>Review blocked after revocation; no unauthorized decision</x:v>
      </x:c>
      <x:c r="F32" s="26" t="str">
        <x:v>Approved isolated security fixture</x:v>
      </x:c>
      <x:c r="G32" s="72" t="str">
        <x:v>Untested</x:v>
      </x:c>
      <x:c r="H32" s="26"/>
      <x:c r="I32" s="26"/>
      <x:c r="J32" s="26" t="n">
        <x:v>1</x:v>
      </x:c>
      <x:c r="K32" s="26" t="n">
        <x:v>0</x:v>
      </x:c>
      <x:c r="L32" s="51" t="n">
        <x:f>IFERROR(K32/J32,0)</x:f>
        <x:v>0</x:v>
      </x:c>
      <x:c r="M32" s="26" t="str">
        <x:v>Developer unit test RevokedAdminCannotReadCompletedReplay reviewed; live JWT revoke not run</x:v>
      </x:c>
      <x:c r="N32" s="26" t="str">
        <x:v>SPARK-197</x:v>
      </x:c>
      <x:c r="O32" s="26" t="str">
        <x:v>9952091294a9603ee53863fca2b454e6a11eb666</x:v>
      </x:c>
      <x:c r="P32" s="26" t="str">
        <x:v>Jira SPARK-197; OwnerRegistrationService.cs; developer test review</x:v>
      </x:c>
      <x:c r="Q32" s="26" t="str">
        <x:v>TEST / security</x:v>
      </x:c>
    </x:row>
    <x:row r="33" ht="50" customHeight="1">
      <x:c r="B33" s="26" t="str">
        <x:v>[SP197-GAP-04]</x:v>
      </x:c>
      <x:c r="C33" s="26" t="str">
        <x:v>Approve versus lock/disable race</x:v>
      </x:c>
      <x:c r="D33" s="26" t="str">
        <x:v>Attempt approval concurrently with account disable/lock</x:v>
      </x:c>
      <x:c r="E33" s="26" t="str">
        <x:v>Approval must not unlock separately disabled account</x:v>
      </x:c>
      <x:c r="F33" s="26" t="str">
        <x:v>Approved isolated fixture; role/lock API contract</x:v>
      </x:c>
      <x:c r="G33" s="72" t="str">
        <x:v>Untested</x:v>
      </x:c>
      <x:c r="H33" s="26"/>
      <x:c r="I33" s="26"/>
      <x:c r="J33" s="26" t="n">
        <x:v>1</x:v>
      </x:c>
      <x:c r="K33" s="26" t="n">
        <x:v>0</x:v>
      </x:c>
      <x:c r="L33" s="51" t="n">
        <x:f>IFERROR(K33/J33,0)</x:f>
        <x:v>0</x:v>
      </x:c>
      <x:c r="M33" s="26" t="str">
        <x:v>Not performed; cannot infer from active-owner sign-in</x:v>
      </x:c>
      <x:c r="N33" s="26" t="str">
        <x:v>SPARK-197</x:v>
      </x:c>
      <x:c r="O33" s="26" t="str">
        <x:v>9952091294a9603ee53863fca2b454e6a11eb666</x:v>
      </x:c>
      <x:c r="P33" s="26" t="str">
        <x:v>Jira SPARK-197; OwnerRegistrationService.cs; developer test review</x:v>
      </x:c>
      <x:c r="Q33" s="26" t="str">
        <x:v>TEST / state race</x:v>
      </x:c>
    </x:row>
    <x:row r="34" ht="50" customHeight="1">
      <x:c r="B34" s="26" t="str">
        <x:v>[SP197-GAP-05]</x:v>
      </x:c>
      <x:c r="C34" s="26" t="str">
        <x:v>Unverified or missing lot/setup eligibility</x:v>
      </x:c>
      <x:c r="D34" s="26" t="str">
        <x:v>Try approve synthetic pending Owner lacking verification or required lot</x:v>
      </x:c>
      <x:c r="E34" s="26" t="str">
        <x:v>Contract-defined 409/validation failure; no activation</x:v>
      </x:c>
      <x:c r="F34" s="26" t="str">
        <x:v>Isolated incomplete registration fixture</x:v>
      </x:c>
      <x:c r="G34" s="72" t="str">
        <x:v>Untested</x:v>
      </x:c>
      <x:c r="H34" s="26"/>
      <x:c r="I34" s="26"/>
      <x:c r="J34" s="26" t="n">
        <x:v>1</x:v>
      </x:c>
      <x:c r="K34" s="26" t="n">
        <x:v>0</x:v>
      </x:c>
      <x:c r="L34" s="51" t="n">
        <x:f>IFERROR(K34/J34,0)</x:f>
        <x:v>0</x:v>
      </x:c>
      <x:c r="M34" s="26" t="str">
        <x:v>Code shows CONTACT_UNVERIFIED/LOT_SETUP_REQUIRED branches; no current live API result</x:v>
      </x:c>
      <x:c r="N34" s="26" t="str">
        <x:v>SPARK-197</x:v>
      </x:c>
      <x:c r="O34" s="26" t="str">
        <x:v>9952091294a9603ee53863fca2b454e6a11eb666</x:v>
      </x:c>
      <x:c r="P34" s="26" t="str">
        <x:v>Jira SPARK-197; OwnerRegistrationService.cs; developer test review</x:v>
      </x:c>
      <x:c r="Q34" s="26" t="str">
        <x:v>TEST / eligibility</x:v>
      </x:c>
    </x:row>
    <x:row r="35" ht="50" customHeight="1">
      <x:c r="B35" s="26" t="str">
        <x:v>[SP197-GAP-06]</x:v>
      </x:c>
      <x:c r="C35" s="26" t="str">
        <x:v>Notification outage after decision</x:v>
      </x:c>
      <x:c r="D35" s="26" t="str">
        <x:v>Force QA-only email delivery failure after approved decision</x:v>
      </x:c>
      <x:c r="E35" s="26" t="str">
        <x:v>Approval persists; delivery separately reports pending/fail and retry</x:v>
      </x:c>
      <x:c r="F35" s="26" t="str">
        <x:v>Controlled QA-only fault injection, not real mailbox</x:v>
      </x:c>
      <x:c r="G35" s="72" t="str">
        <x:v>Untested</x:v>
      </x:c>
      <x:c r="H35" s="26"/>
      <x:c r="I35" s="26"/>
      <x:c r="J35" s="26" t="n">
        <x:v>1</x:v>
      </x:c>
      <x:c r="K35" s="26" t="n">
        <x:v>0</x:v>
      </x:c>
      <x:c r="L35" s="51" t="n">
        <x:f>IFERROR(K35/J35,0)</x:f>
        <x:v>0</x:v>
      </x:c>
      <x:c r="M35" s="26" t="str">
        <x:v>Prior PostgreSQL integration test reported; not injected into live QA</x:v>
      </x:c>
      <x:c r="N35" s="26" t="str">
        <x:v>SPARK-197</x:v>
      </x:c>
      <x:c r="O35" s="26" t="str">
        <x:v>9952091294a9603ee53863fca2b454e6a11eb666</x:v>
      </x:c>
      <x:c r="P35" s="26" t="str">
        <x:v>Jira SPARK-197; OwnerRegistrationService.cs; developer test review</x:v>
      </x:c>
      <x:c r="Q35" s="26" t="str">
        <x:v>TEST / dependency failure</x:v>
      </x:c>
    </x:row>
    <x:row r="36" ht="50" customHeight="1">
      <x:c r="B36" s="26" t="str">
        <x:v>[SP197-GAP-07]</x:v>
      </x:c>
      <x:c r="C36" s="26" t="str">
        <x:v>Remote timeout / retry via live API</x:v>
      </x:c>
      <x:c r="D36" s="26" t="str">
        <x:v>Simulate FacilityService failure/timeout; retry approval</x:v>
      </x:c>
      <x:c r="E36" s="26" t="str">
        <x:v>Durable intent; no duplicate site, final decision once</x:v>
      </x:c>
      <x:c r="F36" s="26" t="str">
        <x:v>Dedicated pending QA record and controllable dependency</x:v>
      </x:c>
      <x:c r="G36" s="72" t="str">
        <x:v>Untested</x:v>
      </x:c>
      <x:c r="H36" s="26"/>
      <x:c r="I36" s="26"/>
      <x:c r="J36" s="26" t="n">
        <x:v>1</x:v>
      </x:c>
      <x:c r="K36" s="26" t="n">
        <x:v>0</x:v>
      </x:c>
      <x:c r="L36" s="51" t="n">
        <x:f>IFERROR(K36/J36,0)</x:f>
        <x:v>0</x:v>
      </x:c>
      <x:c r="M36" s="26" t="str">
        <x:v>Developer unit assertions reviewed (remote response/local finalize); live HTTP not executed</x:v>
      </x:c>
      <x:c r="N36" s="26" t="str">
        <x:v>SPARK-197</x:v>
      </x:c>
      <x:c r="O36" s="26" t="str">
        <x:v>9952091294a9603ee53863fca2b454e6a11eb666</x:v>
      </x:c>
      <x:c r="P36" s="26" t="str">
        <x:v>Jira SPARK-197; OwnerRegistrationService.cs; developer test review</x:v>
      </x:c>
      <x:c r="Q36" s="26" t="str">
        <x:v>TEST / retry</x:v>
      </x:c>
    </x:row>
    <x:row r="37" ht="50" customHeight="1">
      <x:c r="B37" s="26" t="str">
        <x:v>[SP197-GAP-08]</x:v>
      </x:c>
      <x:c r="C37" s="26" t="str">
        <x:v>Immutable decision audit history</x:v>
      </x:c>
      <x:c r="D37" s="26" t="str">
        <x:v>Inspect audit log entries across transitions and attempted replays</x:v>
      </x:c>
      <x:c r="E37" s="26" t="str">
        <x:v>Traceable actor/time/decision history not overwritten by later attempts</x:v>
      </x:c>
      <x:c r="F37" s="26" t="str">
        <x:v>Audit table/API defined and authorized read access</x:v>
      </x:c>
      <x:c r="G37" s="72" t="str">
        <x:v>Untested</x:v>
      </x:c>
      <x:c r="H37" s="26"/>
      <x:c r="I37" s="26"/>
      <x:c r="J37" s="26" t="n">
        <x:v>1</x:v>
      </x:c>
      <x:c r="K37" s="26" t="n">
        <x:v>0</x:v>
      </x:c>
      <x:c r="L37" s="51" t="n">
        <x:f>IFERROR(K37/J37,0)</x:f>
        <x:v>0</x:v>
      </x:c>
      <x:c r="M37" s="26" t="str">
        <x:v>reviewedBy/reviewedAt present; immutable historical log not independently proven</x:v>
      </x:c>
      <x:c r="N37" s="26" t="str">
        <x:v>SPARK-197</x:v>
      </x:c>
      <x:c r="O37" s="26" t="str">
        <x:v>9952091294a9603ee53863fca2b454e6a11eb666</x:v>
      </x:c>
      <x:c r="P37" s="26" t="str">
        <x:v>Jira SPARK-197; OwnerRegistrationService.cs; developer test review</x:v>
      </x:c>
      <x:c r="Q37" s="26" t="str">
        <x:v>TEST / audit history</x:v>
      </x:c>
    </x:row>
    <x:row r="38" ht="50" customHeight="1">
      <x:c r="B38" s="26" t="str">
        <x:v>[SP197-GAP-09]</x:v>
      </x:c>
      <x:c r="C38" s="26" t="str">
        <x:v>Reject/resubmit business rules</x:v>
      </x:c>
      <x:c r="D38" s="26" t="str">
        <x:v>Confirm reject resubmission/appeal behavior with approved SRS decision</x:v>
      </x:c>
      <x:c r="E38" s="26" t="str">
        <x:v>Specified transition/reapply outcome; no invented criteria</x:v>
      </x:c>
      <x:c r="F38" s="26" t="str">
        <x:v>Product/BA decision about reject/resubmit</x:v>
      </x:c>
      <x:c r="G38" s="72" t="str">
        <x:v>Untested</x:v>
      </x:c>
      <x:c r="H38" s="26"/>
      <x:c r="I38" s="26"/>
      <x:c r="J38" s="26" t="n">
        <x:v>1</x:v>
      </x:c>
      <x:c r="K38" s="26" t="n">
        <x:v>0</x:v>
      </x:c>
      <x:c r="L38" s="51" t="n">
        <x:f>IFERROR(K38/J38,0)</x:f>
        <x:v>0</x:v>
      </x:c>
      <x:c r="M38" s="26" t="str">
        <x:v>Jira marks detailed reject/resubmit extension unresolved; no independent contract</x:v>
      </x:c>
      <x:c r="N38" s="26" t="str">
        <x:v>SPARK-197</x:v>
      </x:c>
      <x:c r="O38" s="26" t="str">
        <x:v>9952091294a9603ee53863fca2b454e6a11eb666</x:v>
      </x:c>
      <x:c r="P38" s="26" t="str">
        <x:v>Jira SPARK-197; OwnerRegistrationService.cs; developer test review</x:v>
      </x:c>
      <x:c r="Q38" s="26" t="str">
        <x:v>TEST / requirement clarification</x:v>
      </x:c>
    </x:row>
  </x:sheetData>
  <x:mergeCells>
    <x:mergeCell ref="B1:Q1"/>
    <x:mergeCell ref="B7:Q7"/>
    <x:mergeCell ref="B8:Q8"/>
  </x:mergeCells>
  <x:dataValidations count="1">
    <x:dataValidation type="list" sqref="G10:G80">
      <x:formula1>"Pass,Fail,Untested,Blocked,N/A"</x:formula1>
    </x:dataValidation>
  </x:dataValidations>
  <x:pageMargins left="0.7" right="0.7" top="0.75" bottom="0.75" header="0.3" footer="0.3"/>
</x:worksheet>
</file>