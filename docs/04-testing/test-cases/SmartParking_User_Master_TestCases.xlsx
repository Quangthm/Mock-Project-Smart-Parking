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e2b6548cc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0ddd08f443840f8"/>
    <x:sheet xmlns:r="http://schemas.openxmlformats.org/officeDocument/2006/relationships" name="Test Report" sheetId="2" r:id="R5396d8a80f24487e"/>
    <x:sheet xmlns:r="http://schemas.openxmlformats.org/officeDocument/2006/relationships" name="Test Case List" sheetId="3" r:id="Rf9c1566d641e4a4d"/>
    <x:sheet xmlns:r="http://schemas.openxmlformats.org/officeDocument/2006/relationships" name="Migration Queue" sheetId="4" r:id="R3bb1a8158e7c4531"/>
    <x:sheet xmlns:r="http://schemas.openxmlformats.org/officeDocument/2006/relationships" name="PR9_Owner_E2E" sheetId="5" r:id="Receac518851a4761"/>
    <x:sheet xmlns:r="http://schemas.openxmlformats.org/officeDocument/2006/relationships" name="PR9_Auth_UI" sheetId="6" r:id="R7fd116b3117e4ae7"/>
    <x:sheet xmlns:r="http://schemas.openxmlformats.org/officeDocument/2006/relationships" name="SP177_Planned_QA" sheetId="7" r:id="R18955f9149a14d60"/>
    <x:sheet xmlns:r="http://schemas.openxmlformats.org/officeDocument/2006/relationships" name="Historical_Run_Index" sheetId="8" r:id="R677e544d193647a4"/>
    <x:sheet xmlns:r="http://schemas.openxmlformats.org/officeDocument/2006/relationships" name="Open_Findings" sheetId="9" r:id="R984cb7fcc584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54A"/>
      <x:name val="Carlito"/>
    </x:font>
    <x:font>
      <x:sz val="11"/>
      <x:color rgb="FF2B4552"/>
      <x:name val="Carlito"/>
    </x:font>
    <x:font>
      <x:b/>
      <x:sz val="11"/>
      <x:color rgb="FF0C4D68"/>
      <x:name val="Carlito"/>
    </x:font>
    <x:font>
      <x:b/>
      <x:sz val="11"/>
      <x:color rgb="FF1538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  <x:fill>
      <x:patternFill patternType="solid">
        <x:fgColor rgb="FF102A3B"/>
      </x:patternFill>
    </x:fill>
    <x:fill>
      <x:patternFill patternType="solid">
        <x:fgColor rgb="FFD7E8EF"/>
      </x:patternFill>
    </x:fill>
    <x:fill>
      <x:patternFill patternType="solid">
        <x:fgColor rgb="FFE7F2F5"/>
      </x:patternFill>
    </x:fill>
    <x:fill>
      <x:patternFill patternType="solid">
        <x:fgColor rgb="FF183C52"/>
      </x:patternFill>
    </x:fill>
    <x:fill>
      <x:patternFill patternType="solid">
        <x:fgColor rgb="FFDDECF2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8" fillId="10" borderId="0" xfId="0" applyNumberFormat="1" applyFont="1" applyFill="1" applyBorder="1"/>
    <x:xf numFmtId="200" fontId="8" fillId="10" borderId="0" xfId="0" applyNumberFormat="1" applyFont="1" applyFill="1" applyBorder="1"/>
  </x:cellXfs>
  <x:cellStyles count="1">
    <x:cellStyle name="Normal" xfId="0"/>
  </x:cellStyles>
  <x:dxfs count="6">
    <x:dxf>
      <x:font>
        <x:color rgb="FF991B1B"/>
      </x:font>
      <x:fill>
        <x:patternFill>
          <x:bgColor rgb="FFFDE8E8"/>
        </x:patternFill>
      </x:fill>
    </x:dxf>
    <x:dxf>
      <x:font>
        <x:color rgb="FF166534"/>
      </x:font>
      <x:fill>
        <x:patternFill>
          <x:bgColor rgb="FFE6F5EB"/>
        </x:patternFill>
      </x:fill>
    </x:dxf>
    <x:dxf>
      <x:font>
        <x:color rgb="FF991B1B"/>
      </x:font>
      <x:fill>
        <x:patternFill>
          <x:bgColor rgb="FFFDE8E8"/>
        </x:patternFill>
      </x:fill>
    </x:dxf>
    <x:dxf>
      <x:font>
        <x:color rgb="FF166534"/>
      </x:font>
      <x:fill>
        <x:patternFill>
          <x:bgColor rgb="FFE6F5EB"/>
        </x:patternFill>
      </x:fill>
    </x:dxf>
    <x:dxf>
      <x:font>
        <x:color rgb="FF991B1B"/>
      </x:font>
      <x:fill>
        <x:patternFill>
          <x:bgColor rgb="FFFDE8E8"/>
        </x:patternFill>
      </x:fill>
    </x:dxf>
    <x:dxf>
      <x:font>
        <x:color rgb="FF166534"/>
      </x:font>
      <x:fill>
        <x:patternFill>
          <x:bgColor rgb="FFE6F5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c9c6187664545" /><Relationship Type="http://schemas.openxmlformats.org/officeDocument/2006/relationships/theme" Target="/xl/theme/theme1.xml" Id="R31c79238d4f14543" /><Relationship Type="http://schemas.openxmlformats.org/officeDocument/2006/relationships/sharedStrings" Target="/xl/sharedStrings.xml" Id="R54ce72cadfc543f4" /><Relationship Type="http://schemas.openxmlformats.org/officeDocument/2006/relationships/worksheet" Target="/xl/worksheets/sheet1.xml" Id="R50ddd08f443840f8" /><Relationship Type="http://schemas.openxmlformats.org/officeDocument/2006/relationships/worksheet" Target="/xl/worksheets/sheet2.xml" Id="R5396d8a80f24487e" /><Relationship Type="http://schemas.openxmlformats.org/officeDocument/2006/relationships/worksheet" Target="/xl/worksheets/sheet3.xml" Id="Rf9c1566d641e4a4d" /><Relationship Type="http://schemas.openxmlformats.org/officeDocument/2006/relationships/worksheet" Target="/xl/worksheets/sheet4.xml" Id="R3bb1a8158e7c4531" /><Relationship Type="http://schemas.openxmlformats.org/officeDocument/2006/relationships/worksheet" Target="/xl/worksheets/sheet5.xml" Id="Receac518851a4761" /><Relationship Type="http://schemas.openxmlformats.org/officeDocument/2006/relationships/worksheet" Target="/xl/worksheets/sheet6.xml" Id="R7fd116b3117e4ae7" /><Relationship Type="http://schemas.openxmlformats.org/officeDocument/2006/relationships/worksheet" Target="/xl/worksheets/sheet7.xml" Id="R18955f9149a14d60" /><Relationship Type="http://schemas.openxmlformats.org/officeDocument/2006/relationships/worksheet" Target="/xl/worksheets/sheet8.xml" Id="R677e544d193647a4" /><Relationship Type="http://schemas.openxmlformats.org/officeDocument/2006/relationships/worksheet" Target="/xl/worksheets/sheet9.xml" Id="R984cb7fcc584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SPARK_User_Master_TestCases_v1.0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User</x:v>
      </x:c>
      <x:c r="F7" s="11" t="str">
        <x:v>Version</x:v>
      </x:c>
      <x:c r="G7" t="str">
        <x:v>1.1 REVIEW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3">
      <x:c r="B13" t="str">
        <x:v>2026-10-28</x:v>
      </x:c>
      <x:c r="C13" t="str">
        <x:v>1.1</x:v>
      </x:c>
      <x:c r="D13" t="str">
        <x:v>Migrate SPARK177 + PR9</x:v>
      </x:c>
      <x:c r="E13" t="str">
        <x:v>A</x:v>
      </x:c>
      <x:c r="F13" t="str">
        <x:v>17 User PASS + 15 planned; unit and prior runs indexed</x:v>
      </x:c>
      <x:c r="G13" t="str">
        <x:v>PR9/177 historical source ZIP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USER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SPARK_User_Master_TestCases_v1.0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  <x:c r="F6" t="str">
        <x:v>Historical SPARK-177 (multiple baselines) + PR9 current 05e2976d; Unit tests are separate.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PR9_Owner_E2E</x:v>
      </x:c>
      <x:c r="D11" t="n">
        <x:v>10</x:v>
      </x:c>
      <x:c r="E11" t="n">
        <x:v>0</x:v>
      </x:c>
      <x:c r="F11" t="n">
        <x:v>0</x:v>
      </x:c>
      <x:c r="G11" t="n">
        <x:v>0</x:v>
      </x:c>
      <x:c r="H11" t="n">
        <x:v>10</x:v>
      </x:c>
      <x:c r="I11" s="32" t="n">
        <x:f>IFERROR(D11/H11,0)</x:f>
        <x:v>1</x:v>
      </x:c>
      <x:c r="J11" t="n">
        <x:v>0</x:v>
      </x:c>
    </x:row>
    <x:row r="12">
      <x:c r="B12" t="n">
        <x:v>2</x:v>
      </x:c>
      <x:c r="C12" s="29" t="str">
        <x:v>PR9_Auth_UI</x:v>
      </x:c>
      <x:c r="D12" s="29" t="n">
        <x:v>7</x:v>
      </x:c>
      <x:c r="E12" s="29" t="n">
        <x:v>0</x:v>
      </x:c>
      <x:c r="F12" s="29" t="n">
        <x:v>0</x:v>
      </x:c>
      <x:c r="G12" s="29" t="n">
        <x:v>0</x:v>
      </x:c>
      <x:c r="H12" s="29" t="n">
        <x:v>7</x:v>
      </x:c>
      <x:c r="I12" s="33" t="n">
        <x:f>IFERROR(D12/H12,0)</x:f>
        <x:v>1</x:v>
      </x:c>
      <x:c r="J12" s="29" t="n">
        <x:v>0</x:v>
      </x:c>
    </x:row>
    <x:row r="13">
      <x:c r="B13" t="n">
        <x:v>3</x:v>
      </x:c>
      <x:c r="C13" t="str">
        <x:v>SP177_Planned_QA</x:v>
      </x:c>
      <x:c r="D13" t="n">
        <x:v>0</x:v>
      </x:c>
      <x:c r="E13" t="n">
        <x:v>0</x:v>
      </x:c>
      <x:c r="F13" t="n">
        <x:v>15</x:v>
      </x:c>
      <x:c r="G13" t="n">
        <x:v>0</x:v>
      </x:c>
      <x:c r="H13" t="n">
        <x:v>15</x:v>
      </x:c>
      <x:c r="I13" s="32" t="n">
        <x:f>IFERROR(D13/H13,0)</x:f>
        <x:v>0</x:v>
      </x:c>
      <x:c r="J13" t="n">
        <x:v>0</x:v>
      </x:c>
    </x:row>
    <x:row r="14">
      <x:c r="B14" s="55"/>
      <x:c r="C14" s="55" t="str">
        <x:v>Sub total</x:v>
      </x:c>
      <x:c r="D14" s="55" t="n">
        <x:f>SUM(D11:D13)</x:f>
        <x:v>17</x:v>
      </x:c>
      <x:c r="E14" s="55" t="n">
        <x:f>SUM(E11:E13)</x:f>
        <x:v>0</x:v>
      </x:c>
      <x:c r="F14" s="55" t="n">
        <x:f>SUM(F11:F13)</x:f>
        <x:v>15</x:v>
      </x:c>
      <x:c r="G14" s="55" t="n">
        <x:f>SUM(G11:G13)</x:f>
        <x:v>0</x:v>
      </x:c>
      <x:c r="H14" s="55" t="n">
        <x:f>SUM(H11:H13)</x:f>
        <x:v>32</x:v>
      </x:c>
      <x:c r="I14" s="56" t="n">
        <x:f>IFERROR(D14/H14,0)</x:f>
        <x:v>0.53125</x:v>
      </x:c>
      <x:c r="J14" s="55" t="n">
        <x:f>SUM(J11:J13)</x:f>
        <x:v>0</x:v>
      </x:c>
    </x:row>
    <x:row r="22">
      <x:c r="B22" t="str">
        <x:v>QA execution coverage</x:v>
      </x:c>
      <x:c r="C22" s="32" t="n">
        <x:f>IFERROR((D14+E14)/H14,0)</x:f>
        <x:v>0.53125</x:v>
      </x:c>
    </x:row>
    <x:row r="23">
      <x:c r="B23" t="str">
        <x:v>Status / sign-off</x:v>
      </x:c>
      <x:c r="C23" t="str">
        <x:v>PR9 Owner positive E2E/UI targeted PASS on 05e2976d; SPARK-177 planned scenarios NOT EXECUTED. QA overall not signed off.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PR9 Word/Excel 2026-10-22; SPARK177 historical DRAFT and Gap Matrix. Historical run totals kept separately.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SPARK-177 / Fix2FA</x:v>
      </x:c>
      <x:c r="C29" t="n">
        <x:v>73</x:v>
      </x:c>
      <x:c r="D29" t="n">
        <x:v>0</x:v>
      </x:c>
      <x:c r="E29" t="n">
        <x:v>26</x:v>
      </x:c>
      <x:c r="F29" t="str">
        <x:v>99 total on 19/10/2026; tests skipped; independent review pending</x:v>
      </x:c>
    </x:row>
    <x:row r="30">
      <x:c r="B30" t="str">
        <x:v>PR9 / 05e2976d</x:v>
      </x:c>
      <x:c r="C30" t="n">
        <x:v>167</x:v>
      </x:c>
      <x:c r="D30" t="n">
        <x:v>0</x:v>
      </x:c>
      <x:c r="E30" t="n">
        <x:v>0</x:v>
      </x:c>
      <x:c r="F30" t="str">
        <x:v>Developer .NET test rerun / 22/10/2026; different SHA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USER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 ht="28" customHeight="1">
      <x:c r="B9" s="26" t="n">
        <x:v>1</x:v>
      </x:c>
      <x:c r="C9" s="26" t="str">
        <x:v>PR9_Owner_E2E</x:v>
      </x:c>
      <x:c r="D9" s="26" t="str">
        <x:v>PR9_Owner_E2E</x:v>
      </x:c>
      <x:c r="E9" s="26" t="str">
        <x:v>10 Owner onboarding positive E2E checks, UserService-root</x:v>
      </x:c>
      <x:c r="F9" s="26" t="str">
        <x:v>PR9 QA account; local SMTP, User/Facility/Reservation APIs</x:v>
      </x:c>
    </x:row>
    <x:row r="10" ht="28" customHeight="1">
      <x:c r="B10" s="26" t="n">
        <x:v>2</x:v>
      </x:c>
      <x:c r="C10" s="26" t="str">
        <x:v>PR9_Auth_UI</x:v>
      </x:c>
      <x:c r="D10" s="26" t="str">
        <x:v>PR9_Auth_UI</x:v>
      </x:c>
      <x:c r="E10" s="26" t="str">
        <x:v>7 additional Admin/Owner/Sign-up UI checks</x:v>
      </x:c>
      <x:c r="F10" s="26" t="str">
        <x:v>Current 05e2976d UI; QA user role</x:v>
      </x:c>
    </x:row>
    <x:row r="11" ht="28" customHeight="1">
      <x:c r="B11" s="26" t="n">
        <x:v>3</x:v>
      </x:c>
      <x:c r="C11" s="26" t="str">
        <x:v>SP177_Planned_QA</x:v>
      </x:c>
      <x:c r="D11" s="26" t="str">
        <x:v>SP177_Planned_QA</x:v>
      </x:c>
      <x:c r="E11" s="26" t="str">
        <x:v>15 SPARK-177 pending test scenarios; not executed</x:v>
      </x:c>
      <x:c r="F11" s="26" t="str">
        <x:v>Approved auth requirements; safe auth fixtures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USER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 ht="85" customHeight="1">
      <x:c r="B6" s="26" t="str">
        <x:v>SPARK-177</x:v>
      </x:c>
      <x:c r="C6" s="26" t="str">
        <x:v>Login/Logout API Testing + UAT</x:v>
      </x:c>
      <x:c r="D6" s="26" t="str">
        <x:v>15 planned QA test cases imported as UNTESTED; 19 demo PASS, 9 Fix2FA PASS, 5 negative smoke PASS kept as historical runs only; xUnit 73/0/26.</x:v>
      </x:c>
      <x:c r="E6" s="26" t="str">
        <x:v>Historical runs have no row-level raw execution in ZIP; do not mark baseline current PASS. MFA 500 unresolved cause; Newman/UAT incomplete.</x:v>
      </x:c>
      <x:c r="F6" s="26" t="str">
        <x:v>15 PLANNED CASES + HISTORY INDEXED</x:v>
      </x:c>
    </x:row>
    <x:row r="7" ht="85" customHeight="1">
      <x:c r="B7" s="26" t="str">
        <x:v>PR #9</x:v>
      </x:c>
      <x:c r="C7" s="26" t="str">
        <x:v>Owner onboarding / Fix2FA QA</x:v>
      </x:c>
      <x:c r="D7" s="26" t="str">
        <x:v>17 detailed User-root PR9 positive/UI cases imported (10 Owner E2E + 7 Admin/Auth UI); 167 xUnit pass separate. Facility UI 2 cases provisional.</x:v>
      </x:c>
      <x:c r="E7" s="26" t="str">
        <x:v>PR9 SHA 05e2976d; QA candidate tasks SPARK-181 (registration) / SPARK-197 (approval), mapped provisionally per case; confirm against Jira scope. SMTP Gmail 535 was environment/account, not proven product bug.</x:v>
      </x:c>
      <x:c r="F7" s="26" t="str">
        <x:v>17 USER CASES IMPORTED; FACILITY OWNER TBC</x:v>
      </x:c>
    </x:row>
  </x:sheetData>
  <x:mergeCells>
    <x:mergeCell ref="B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22" hidden="0" customWidth="1"/>
    <x:col min="3" max="3" width="28" hidden="0" customWidth="1"/>
    <x:col min="4" max="4" width="40" hidden="0" customWidth="1"/>
    <x:col min="5" max="5" width="35" hidden="0" customWidth="1"/>
    <x:col min="6" max="6" width="27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48" hidden="0" customWidth="1"/>
    <x:col min="14" max="14" width="25" hidden="0" customWidth="1"/>
    <x:col min="15" max="15" width="25" hidden="0" customWidth="1"/>
    <x:col min="16" max="16" width="48" hidden="0" customWidth="1"/>
    <x:col min="17" max="17" width="38" hidden="0" customWidth="1"/>
  </x:cols>
  <x:sheetData>
    <x:row r="1" ht="35" customHeight="1">
      <x:c r="B1" s="39" t="str">
        <x:v>SMART PARKING  |  PR9_Owner_E2E</x:v>
      </x:c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B2" s="41" t="str">
        <x:v>Module Code</x:v>
      </x:c>
      <x:c r="C2" t="str">
        <x:v>PR9_Owner_E2E</x:v>
      </x:c>
    </x:row>
    <x:row r="3">
      <x:c r="B3" s="41" t="str">
        <x:v>Test requirement</x:v>
      </x:c>
      <x:c r="C3" t="str">
        <x:v>PR #9 · QA key TBD</x:v>
      </x:c>
    </x:row>
    <x:row r="4">
      <x:c r="B4" s="41" t="str">
        <x:v>Reference Document</x:v>
      </x:c>
      <x:c r="C4" s="44" t="str">
        <x:v>UserService-root Owner registration workflow (10 linked checks), baseline 05e2976d; email via UserService worker.</x:v>
      </x:c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B5" s="49" t="str">
        <x:v>% Passed of tests</x:v>
      </x:c>
      <x:c r="C5" s="49" t="str">
        <x:v>Pass</x:v>
      </x:c>
      <x:c r="D5" s="49" t="str">
        <x:v>Fail</x:v>
      </x:c>
      <x:c r="E5" s="49" t="str">
        <x:v>Untested</x:v>
      </x:c>
      <x:c r="F5" s="49" t="str">
        <x:v>N/A</x:v>
      </x:c>
      <x:c r="G5" s="49" t="str">
        <x:v>Number of test cases</x:v>
      </x:c>
      <x:c r="H5" s="49" t="str">
        <x:v>Blocked</x:v>
      </x:c>
    </x:row>
    <x:row r="6" ht="24" customHeight="1">
      <x:c r="B6" s="32" t="n">
        <x:f>IFERROR(C6/G6,0)</x:f>
        <x:v>1</x:v>
      </x:c>
      <x:c r="C6" t="n">
        <x:v>10</x:v>
      </x:c>
      <x:c r="D6" t="n">
        <x:v>0</x:v>
      </x:c>
      <x:c r="E6" t="n">
        <x:v>0</x:v>
      </x:c>
      <x:c r="F6" t="n">
        <x:v>0</x:v>
      </x:c>
      <x:c r="G6" t="n">
        <x:v>10</x:v>
      </x:c>
      <x:c r="H6" t="n">
        <x:v>0</x:v>
      </x:c>
    </x:row>
    <x:row r="8" ht="28" customHeight="1">
      <x:c r="B8" s="44" t="str">
        <x:v>Nguồn: tài liệu gốc trong Historical ZIP. Tổng hợp theo nhiều commit; không suy diễn kết quả ở HEAD mới.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35" customHeight="1">
      <x:c r="B9" s="49" t="str">
        <x:v>ID</x:v>
      </x:c>
      <x:c r="C9" s="49" t="str">
        <x:v>Test Case Description</x:v>
      </x:c>
      <x:c r="D9" s="49" t="str">
        <x:v>Test Case Procedure</x:v>
      </x:c>
      <x:c r="E9" s="49" t="str">
        <x:v>Expected Results</x:v>
      </x:c>
      <x:c r="F9" s="49" t="str">
        <x:v>Inter-test case Dependence</x:v>
      </x:c>
      <x:c r="G9" s="49" t="str">
        <x:v>Result</x:v>
      </x:c>
      <x:c r="H9" s="49" t="str">
        <x:v>Test date</x:v>
      </x:c>
      <x:c r="I9" s="49" t="str">
        <x:v>Tester</x:v>
      </x:c>
      <x:c r="J9" s="49" t="str">
        <x:v>Number of tests</x:v>
      </x:c>
      <x:c r="K9" s="49" t="str">
        <x:v>Passed</x:v>
      </x:c>
      <x:c r="L9" s="49" t="str">
        <x:v>% Passed</x:v>
      </x:c>
      <x:c r="M9" s="49" t="str">
        <x:v>Note / Actual</x:v>
      </x:c>
      <x:c r="N9" s="49" t="str">
        <x:v>Testing Jira</x:v>
      </x:c>
      <x:c r="O9" s="49" t="str">
        <x:v>Baseline commit</x:v>
      </x:c>
      <x:c r="P9" s="49" t="str">
        <x:v>Evidence / source</x:v>
      </x:c>
      <x:c r="Q9" s="49" t="str">
        <x:v>Scenario type</x:v>
      </x:c>
    </x:row>
    <x:row r="10" ht="57" customHeight="1">
      <x:c r="B10" s="52" t="str">
        <x:v>[PR9-E2E-01]</x:v>
      </x:c>
      <x:c r="C10" s="26" t="str">
        <x:v>E2E / New Owner</x:v>
      </x:c>
      <x:c r="D10" s="26" t="str">
        <x:v>Sign Up &gt; Business; tạo tài khoản test</x:v>
      </x:c>
      <x:c r="E10" s="26" t="str">
        <x:v>Chấp nhận đăng ký hợp lệ</x:v>
      </x:c>
      <x:c r="F10" s="26" t="str">
        <x:v>QA email alias chưa tồn tại, số thử không trùng</x:v>
      </x:c>
      <x:c r="G10" s="26" t="str">
        <x:v>Pass</x:v>
      </x:c>
      <x:c r="H10" s="26" t="str">
        <x:v>2026-10-22</x:v>
      </x:c>
      <x:c r="I10" s="26" t="str">
        <x:v>QA Tester</x:v>
      </x:c>
      <x:c r="J10" s="26" t="n">
        <x:v>1</x:v>
      </x:c>
      <x:c r="K10" s="26" t="n">
        <x:f>IF(G10="Pass",1,0)</x:f>
        <x:v>1</x:v>
      </x:c>
      <x:c r="L10" s="51" t="n">
        <x:f>IFERROR(K10/J10,0)</x:f>
        <x:v>1</x:v>
      </x:c>
      <x:c r="M10" s="26" t="str">
        <x:v>Chuyển sang thiết lập bãi đỗ, không còn CONTACT_EXISTS
Test positive; chỉ dùng dữ liệu QA</x:v>
      </x:c>
      <x:c r="N10" s="26" t="str">
        <x:v>SPARK-181 (provisional PR9 mapping; verify scope)</x:v>
      </x:c>
      <x:c r="O10" s="26" t="str">
        <x:v>05e2976d (short SHA, source-reported)</x:v>
      </x:c>
      <x:c r="P10" s="26" t="str">
        <x:v>EV-E2E-01 · PR9_QA_Traceability_Final.xlsx TEST_CASES; screenshot index in PR9_QA_Final_Report.docx</x:v>
      </x:c>
      <x:c r="Q10" s="26" t="str">
        <x:v>UserService origin / FE owner-onboarding / Admin auth (UI evidence)</x:v>
      </x:c>
    </x:row>
    <x:row r="11" ht="57" customHeight="1">
      <x:c r="B11" s="52" t="str">
        <x:v>[PR9-E2E-02]</x:v>
      </x:c>
      <x:c r="C11" s="26" t="str">
        <x:v>E2E / Lot setup</x:v>
      </x:c>
      <x:c r="D11" s="26" t="str">
        <x:v>Outdoor Lot; Structure; Devices; Pricing &amp; Policy; Confirm; Save</x:v>
      </x:c>
      <x:c r="E11" s="26" t="str">
        <x:v>Lot được lưu, chuyển sang verify email</x:v>
      </x:c>
      <x:c r="F11" s="26" t="str">
        <x:v>Đăng ký Owner QA đã tạo bước đầu</x:v>
      </x:c>
      <x:c r="G11" s="26" t="str">
        <x:v>Pass</x:v>
      </x:c>
      <x:c r="H11" s="26" t="str">
        <x:v>2026-10-22</x:v>
      </x:c>
      <x:c r="I11" s="26" t="str">
        <x:v>QA Tester</x:v>
      </x:c>
      <x:c r="J11" s="26" t="n">
        <x:v>1</x:v>
      </x:c>
      <x:c r="K11" s="26" t="n">
        <x:f>IF(G11="Pass",1,0)</x:f>
        <x:v>1</x:v>
      </x:c>
      <x:c r="L11" s="51" t="n">
        <x:f>IFERROR(K11/J11,0)</x:f>
        <x:v>1</x:v>
      </x:c>
      <x:c r="M11" s="26" t="str">
        <x:v>Thông báo lot setup saved và form verification xuất hiện
Lot name PR9 QA SMTP Test Lot, 20 planned slots</x:v>
      </x:c>
      <x:c r="N11" s="26" t="str">
        <x:v>SPARK-181 (provisional PR9 mapping; verify scope)</x:v>
      </x:c>
      <x:c r="O11" s="26" t="str">
        <x:v>05e2976d (short SHA, source-reported)</x:v>
      </x:c>
      <x:c r="P11" s="26" t="str">
        <x:v>EV-E2E-01 · PR9_QA_Traceability_Final.xlsx TEST_CASES; screenshot index in PR9_QA_Final_Report.docx</x:v>
      </x:c>
      <x:c r="Q11" s="26" t="str">
        <x:v>UserService origin / FE owner-onboarding / Admin auth (UI evidence)</x:v>
      </x:c>
    </x:row>
    <x:row r="12" ht="57" customHeight="1">
      <x:c r="B12" s="52" t="str">
        <x:v>[PR9-E2E-03]</x:v>
      </x:c>
      <x:c r="C12" s="26" t="str">
        <x:v>E2E / Real OTP email</x:v>
      </x:c>
      <x:c r="D12" s="26" t="str">
        <x:v>Submit setup; mở Gmail của người nhận</x:v>
      </x:c>
      <x:c r="E12" s="26" t="str">
        <x:v>OTP thật vào Inbox</x:v>
      </x:c>
      <x:c r="F12" s="26" t="str">
        <x:v>UserService SMTP Gmail qtang... &amp; recipient QA</x:v>
      </x:c>
      <x:c r="G12" s="26" t="str">
        <x:v>Pass</x:v>
      </x:c>
      <x:c r="H12" s="26" t="str">
        <x:v>2026-10-22</x:v>
      </x:c>
      <x:c r="I12" s="26" t="str">
        <x:v>QA Tester</x:v>
      </x:c>
      <x:c r="J12" s="26" t="n">
        <x:v>1</x:v>
      </x:c>
      <x:c r="K12" s="26" t="n">
        <x:f>IF(G12="Pass",1,0)</x:f>
        <x:v>1</x:v>
      </x:c>
      <x:c r="L12" s="51" t="n">
        <x:f>IFERROR(K12/J12,0)</x:f>
        <x:v>1</x:v>
      </x:c>
      <x:c r="M12" s="26" t="str">
        <x:v>SmartPark verification nhận lúc 17:30, từ Gmail thay thế
OTP đã che trong Word; không lưu mã</x:v>
      </x:c>
      <x:c r="N12" s="26" t="str">
        <x:v>SPARK-181 (provisional PR9 mapping; verify scope)</x:v>
      </x:c>
      <x:c r="O12" s="26" t="str">
        <x:v>05e2976d (short SHA, source-reported)</x:v>
      </x:c>
      <x:c r="P12" s="26" t="str">
        <x:v>EV-E2E-02 · PR9_QA_Traceability_Final.xlsx TEST_CASES; screenshot index in PR9_QA_Final_Report.docx</x:v>
      </x:c>
      <x:c r="Q12" s="26" t="str">
        <x:v>UserService origin / FE owner-onboarding / Admin auth (UI evidence)</x:v>
      </x:c>
    </x:row>
    <x:row r="13" ht="57" customHeight="1">
      <x:c r="B13" s="52" t="str">
        <x:v>[PR9-E2E-04]</x:v>
      </x:c>
      <x:c r="C13" s="26" t="str">
        <x:v>E2E / OTP verify</x:v>
      </x:c>
      <x:c r="D13" s="26" t="str">
        <x:v>Nhập OTP trong Verification UI và Verify</x:v>
      </x:c>
      <x:c r="E13" s="26" t="str">
        <x:v>Email verified; application submitted</x:v>
      </x:c>
      <x:c r="F13" s="26" t="str">
        <x:v>Có OTP Gmail thật còn hiệu lực</x:v>
      </x:c>
      <x:c r="G13" s="26" t="str">
        <x:v>Pass</x:v>
      </x:c>
      <x:c r="H13" s="26" t="str">
        <x:v>2026-10-22</x:v>
      </x:c>
      <x:c r="I13" s="26" t="str">
        <x:v>QA Tester</x:v>
      </x:c>
      <x:c r="J13" s="26" t="n">
        <x:v>1</x:v>
      </x:c>
      <x:c r="K13" s="26" t="n">
        <x:f>IF(G13="Pass",1,0)</x:f>
        <x:v>1</x:v>
      </x:c>
      <x:c r="L13" s="51" t="n">
        <x:f>IFERROR(K13/J13,0)</x:f>
        <x:v>1</x:v>
      </x:c>
      <x:c r="M13" s="26" t="str">
        <x:v>Trang Application Submitted; under Admin review
Positive OTP; negative/expired chưa test mới</x:v>
      </x:c>
      <x:c r="N13" s="26" t="str">
        <x:v>SPARK-181 (provisional PR9 mapping; verify scope)</x:v>
      </x:c>
      <x:c r="O13" s="26" t="str">
        <x:v>05e2976d (short SHA, source-reported)</x:v>
      </x:c>
      <x:c r="P13" s="26" t="str">
        <x:v>EV-E2E-03 · PR9_QA_Traceability_Final.xlsx TEST_CASES; screenshot index in PR9_QA_Final_Report.docx</x:v>
      </x:c>
      <x:c r="Q13" s="26" t="str">
        <x:v>UserService origin / FE owner-onboarding / Admin auth (UI evidence)</x:v>
      </x:c>
    </x:row>
    <x:row r="14" ht="57" customHeight="1">
      <x:c r="B14" s="52" t="str">
        <x:v>[PR9-E2E-05]</x:v>
      </x:c>
      <x:c r="C14" s="26" t="str">
        <x:v>E2E / Admin pending</x:v>
      </x:c>
      <x:c r="D14" s="26" t="str">
        <x:v>Owner Partnership Applications &gt; Refresh</x:v>
      </x:c>
      <x:c r="E14" s="26" t="str">
        <x:v>Hồ sơ verified xuất hiện Pending</x:v>
      </x:c>
      <x:c r="F14" s="26" t="str">
        <x:v>Admin QA signed in</x:v>
      </x:c>
      <x:c r="G14" s="26" t="str">
        <x:v>Pass</x:v>
      </x:c>
      <x:c r="H14" s="26" t="str">
        <x:v>2026-10-22</x:v>
      </x:c>
      <x:c r="I14" s="26" t="str">
        <x:v>QA Tester</x:v>
      </x:c>
      <x:c r="J14" s="26" t="n">
        <x:v>1</x:v>
      </x:c>
      <x:c r="K14" s="26" t="n">
        <x:f>IF(G14="Pass",1,0)</x:f>
        <x:v>1</x:v>
      </x:c>
      <x:c r="L14" s="51" t="n">
        <x:f>IFERROR(K14/J14,0)</x:f>
        <x:v>1</x:v>
      </x:c>
      <x:c r="M14" s="26" t="str">
        <x:v>Pending Review (1); contact Verified, lot chính xác
Không duyệt hồ sơ khác</x:v>
      </x:c>
      <x:c r="N14" s="26" t="str">
        <x:v>SPARK-197 (provisional PR9 mapping; verify scope)</x:v>
      </x:c>
      <x:c r="O14" s="26" t="str">
        <x:v>05e2976d (short SHA, source-reported)</x:v>
      </x:c>
      <x:c r="P14" s="26" t="str">
        <x:v>EV-E2E-04 · PR9_QA_Traceability_Final.xlsx TEST_CASES; screenshot index in PR9_QA_Final_Report.docx</x:v>
      </x:c>
      <x:c r="Q14" s="26" t="str">
        <x:v>UserService origin / FE owner-onboarding / Admin auth (UI evidence)</x:v>
      </x:c>
    </x:row>
    <x:row r="15" ht="57" customHeight="1">
      <x:c r="B15" s="52" t="str">
        <x:v>[PR9-E2E-06]</x:v>
      </x:c>
      <x:c r="C15" s="26" t="str">
        <x:v>E2E / Approve</x:v>
      </x:c>
      <x:c r="D15" s="26" t="str">
        <x:v>Nhập review note QA; click Approve một lần</x:v>
      </x:c>
      <x:c r="E15" s="26" t="str">
        <x:v>Owner chuyển APPROVED</x:v>
      </x:c>
      <x:c r="F15" s="26" t="str">
        <x:v>Hồ sơ QA đang Pending Review</x:v>
      </x:c>
      <x:c r="G15" s="26" t="str">
        <x:v>Pass</x:v>
      </x:c>
      <x:c r="H15" s="26" t="str">
        <x:v>2026-10-22</x:v>
      </x:c>
      <x:c r="I15" s="26" t="str">
        <x:v>QA Tester</x:v>
      </x:c>
      <x:c r="J15" s="26" t="n">
        <x:v>1</x:v>
      </x:c>
      <x:c r="K15" s="26" t="n">
        <x:f>IF(G15="Pass",1,0)</x:f>
        <x:v>1</x:v>
      </x:c>
      <x:c r="L15" s="51" t="n">
        <x:f>IFERROR(K15/J15,0)</x:f>
        <x:v>1</x:v>
      </x:c>
      <x:c r="M15" s="26" t="str">
        <x:v>Mục Previously Reviewed hiển thị APPROVED
Không lặp thao tác; approval 1 lần</x:v>
      </x:c>
      <x:c r="N15" s="26" t="str">
        <x:v>SPARK-197 (provisional PR9 mapping; verify scope)</x:v>
      </x:c>
      <x:c r="O15" s="26" t="str">
        <x:v>05e2976d (short SHA, source-reported)</x:v>
      </x:c>
      <x:c r="P15" s="26" t="str">
        <x:v>EV-E2E-05 · PR9_QA_Traceability_Final.xlsx TEST_CASES; screenshot index in PR9_QA_Final_Report.docx</x:v>
      </x:c>
      <x:c r="Q15" s="26" t="str">
        <x:v>UserService origin / FE owner-onboarding / Admin auth (UI evidence)</x:v>
      </x:c>
    </x:row>
    <x:row r="16" ht="57" customHeight="1">
      <x:c r="B16" s="52" t="str">
        <x:v>[PR9-E2E-07]</x:v>
      </x:c>
      <x:c r="C16" s="26" t="str">
        <x:v>E2E / Workflow delivery</x:v>
      </x:c>
      <x:c r="D16" s="26" t="str">
        <x:v>Refresh Admin applications; xem Notification status</x:v>
      </x:c>
      <x:c r="E16" s="26" t="str">
        <x:v>Pending → Sent</x:v>
      </x:c>
      <x:c r="F16" s="26" t="str">
        <x:v>Owner approved; UserService background worker chạy</x:v>
      </x:c>
      <x:c r="G16" s="26" t="str">
        <x:v>Pass</x:v>
      </x:c>
      <x:c r="H16" s="26" t="str">
        <x:v>2026-10-22</x:v>
      </x:c>
      <x:c r="I16" s="26" t="str">
        <x:v>QA Tester</x:v>
      </x:c>
      <x:c r="J16" s="26" t="n">
        <x:v>1</x:v>
      </x:c>
      <x:c r="K16" s="26" t="n">
        <x:f>IF(G16="Pass",1,0)</x:f>
        <x:v>1</x:v>
      </x:c>
      <x:c r="L16" s="51" t="n">
        <x:f>IFERROR(K16/J16,0)</x:f>
        <x:v>1</x:v>
      </x:c>
      <x:c r="M16" s="26" t="str">
        <x:v>Dòng hồ sơ mới từ pending chuyển sent
Status lưu của workflow; cần email nhận để chốt</x:v>
      </x:c>
      <x:c r="N16" s="26" t="str">
        <x:v>SPARK-197 (provisional PR9 mapping; verify scope)</x:v>
      </x:c>
      <x:c r="O16" s="26" t="str">
        <x:v>05e2976d (short SHA, source-reported)</x:v>
      </x:c>
      <x:c r="P16" s="26" t="str">
        <x:v>EV-E2E-05 · PR9_QA_Traceability_Final.xlsx TEST_CASES; screenshot index in PR9_QA_Final_Report.docx</x:v>
      </x:c>
      <x:c r="Q16" s="26" t="str">
        <x:v>UserService origin / FE owner-onboarding / Admin auth (UI evidence)</x:v>
      </x:c>
    </x:row>
    <x:row r="17" ht="57" customHeight="1">
      <x:c r="B17" s="52" t="str">
        <x:v>[PR9-E2E-08]</x:v>
      </x:c>
      <x:c r="C17" s="26" t="str">
        <x:v>E2E / Approval email</x:v>
      </x:c>
      <x:c r="D17" s="26" t="str">
        <x:v>Kiểm tra Gmail nhận</x:v>
      </x:c>
      <x:c r="E17" s="26" t="str">
        <x:v>Nhận email kết quả APPROVED</x:v>
      </x:c>
      <x:c r="F17" s="26" t="str">
        <x:v>Notification sent; người nhận có Inbox</x:v>
      </x:c>
      <x:c r="G17" s="26" t="str">
        <x:v>Pass</x:v>
      </x:c>
      <x:c r="H17" s="26" t="str">
        <x:v>2026-10-22</x:v>
      </x:c>
      <x:c r="I17" s="26" t="str">
        <x:v>QA Tester</x:v>
      </x:c>
      <x:c r="J17" s="26" t="n">
        <x:v>1</x:v>
      </x:c>
      <x:c r="K17" s="26" t="n">
        <x:f>IF(G17="Pass",1,0)</x:f>
        <x:v>1</x:v>
      </x:c>
      <x:c r="L17" s="51" t="n">
        <x:f>IFERROR(K17/J17,0)</x:f>
        <x:v>1</x:v>
      </x:c>
      <x:c r="M17" s="26" t="str">
        <x:v>SmartPark application decision 17:33; 'Your application is approved.'
Delivery tới Inbox xác minh bằng ảnh</x:v>
      </x:c>
      <x:c r="N17" s="26" t="str">
        <x:v>SPARK-197 (provisional PR9 mapping; verify scope)</x:v>
      </x:c>
      <x:c r="O17" s="26" t="str">
        <x:v>05e2976d (short SHA, source-reported)</x:v>
      </x:c>
      <x:c r="P17" s="26" t="str">
        <x:v>EV-E2E-06 · PR9_QA_Traceability_Final.xlsx TEST_CASES; screenshot index in PR9_QA_Final_Report.docx</x:v>
      </x:c>
      <x:c r="Q17" s="26" t="str">
        <x:v>UserService origin / FE owner-onboarding / Admin auth (UI evidence)</x:v>
      </x:c>
    </x:row>
    <x:row r="18" ht="57" customHeight="1">
      <x:c r="B18" s="52" t="str">
        <x:v>[PR9-E2E-09]</x:v>
      </x:c>
      <x:c r="C18" s="26" t="str">
        <x:v>E2E / Owner sign-in</x:v>
      </x:c>
      <x:c r="D18" s="26" t="str">
        <x:v>Sign In bằng account QA</x:v>
      </x:c>
      <x:c r="E18" s="26" t="str">
        <x:v>Cho truy cập Owner Dashboard</x:v>
      </x:c>
      <x:c r="F18" s="26" t="str">
        <x:v>Owner QA mới APPROVED</x:v>
      </x:c>
      <x:c r="G18" s="26" t="str">
        <x:v>Pass</x:v>
      </x:c>
      <x:c r="H18" s="26" t="str">
        <x:v>2026-10-22</x:v>
      </x:c>
      <x:c r="I18" s="26" t="str">
        <x:v>QA Tester</x:v>
      </x:c>
      <x:c r="J18" s="26" t="n">
        <x:v>1</x:v>
      </x:c>
      <x:c r="K18" s="26" t="n">
        <x:f>IF(G18="Pass",1,0)</x:f>
        <x:v>1</x:v>
      </x:c>
      <x:c r="L18" s="51" t="n">
        <x:f>IFERROR(K18/J18,0)</x:f>
        <x:v>1</x:v>
      </x:c>
      <x:c r="M18" s="26" t="str">
        <x:v>Owner Overview hiển thị tài khoản QA
Không công bố mật khẩu</x:v>
      </x:c>
      <x:c r="N18" s="26" t="str">
        <x:v>SPARK-181 (provisional PR9 mapping; verify scope)</x:v>
      </x:c>
      <x:c r="O18" s="26" t="str">
        <x:v>05e2976d (short SHA, source-reported)</x:v>
      </x:c>
      <x:c r="P18" s="26" t="str">
        <x:v>EV-E2E-07 · PR9_QA_Traceability_Final.xlsx TEST_CASES; screenshot index in PR9_QA_Final_Report.docx</x:v>
      </x:c>
      <x:c r="Q18" s="26" t="str">
        <x:v>UserService origin / FE owner-onboarding / Admin auth (UI evidence)</x:v>
      </x:c>
    </x:row>
    <x:row r="19" ht="57" customHeight="1">
      <x:c r="B19" s="52" t="str">
        <x:v>[PR9-E2E-10]</x:v>
      </x:c>
      <x:c r="C19" s="26" t="str">
        <x:v>E2E / Assigned site</x:v>
      </x:c>
      <x:c r="D19" s="26" t="str">
        <x:v>Mở Site filter, chọn PR9 QA SMTP Test Lot</x:v>
      </x:c>
      <x:c r="E19" s="26" t="str">
        <x:v>Chỉ site của Owner được hiển thị</x:v>
      </x:c>
      <x:c r="F19" s="26" t="str">
        <x:v>Owner đã đăng nhập</x:v>
      </x:c>
      <x:c r="G19" s="26" t="str">
        <x:v>Pass</x:v>
      </x:c>
      <x:c r="H19" s="26" t="str">
        <x:v>2026-10-22</x:v>
      </x:c>
      <x:c r="I19" s="26" t="str">
        <x:v>QA Tester</x:v>
      </x:c>
      <x:c r="J19" s="26" t="n">
        <x:v>1</x:v>
      </x:c>
      <x:c r="K19" s="26" t="n">
        <x:f>IF(G19="Pass",1,0)</x:f>
        <x:v>1</x:v>
      </x:c>
      <x:c r="L19" s="51" t="n">
        <x:f>IFERROR(K19/J19,0)</x:f>
        <x:v>1</x:v>
      </x:c>
      <x:c r="M19" s="26" t="str">
        <x:v>Filtered site view; site có trong dropdown
Capacity 0 phụ thuộc physical layout</x:v>
      </x:c>
      <x:c r="N19" s="26" t="str">
        <x:v>SPARK-181 (provisional PR9 mapping; verify scope)</x:v>
      </x:c>
      <x:c r="O19" s="26" t="str">
        <x:v>05e2976d (short SHA, source-reported)</x:v>
      </x:c>
      <x:c r="P19" s="26" t="str">
        <x:v>EV-E2E-08 · PR9_QA_Traceability_Final.xlsx TEST_CASES; screenshot index in PR9_QA_Final_Report.docx</x:v>
      </x:c>
      <x:c r="Q19" s="26" t="str">
        <x:v>UserService origin / FE owner-onboarding / Admin auth (UI evidence)</x:v>
      </x:c>
    </x:row>
  </x:sheetData>
  <x:mergeCells>
    <x:mergeCell ref="B1:Q1"/>
    <x:mergeCell ref="C4:Q4"/>
    <x:mergeCell ref="B8:Q8"/>
  </x:mergeCells>
  <x:conditionalFormatting sqref="G10:G19">
    <x:cfRule type="expression" dxfId="0" priority="1">
      <x:formula>G10="Fail"</x:formula>
    </x:cfRule>
    <x:cfRule type="expression" dxfId="1" priority="2">
      <x:formula>G10="Pass"</x:formula>
    </x:cfRule>
  </x:conditionalFormatting>
  <x:dataValidations count="1">
    <x:dataValidation type="list" sqref="G10:G19">
      <x:formula1>"Pass,Fail,Untested,Blocked,N/A"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22" hidden="0" customWidth="1"/>
    <x:col min="3" max="3" width="28" hidden="0" customWidth="1"/>
    <x:col min="4" max="4" width="40" hidden="0" customWidth="1"/>
    <x:col min="5" max="5" width="35" hidden="0" customWidth="1"/>
    <x:col min="6" max="6" width="27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48" hidden="0" customWidth="1"/>
    <x:col min="14" max="14" width="25" hidden="0" customWidth="1"/>
    <x:col min="15" max="15" width="25" hidden="0" customWidth="1"/>
    <x:col min="16" max="16" width="48" hidden="0" customWidth="1"/>
    <x:col min="17" max="17" width="38" hidden="0" customWidth="1"/>
  </x:cols>
  <x:sheetData>
    <x:row r="1" ht="35" customHeight="1">
      <x:c r="B1" s="39" t="str">
        <x:v>SMART PARKING  |  PR9_Auth_UI</x:v>
      </x:c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B2" s="41" t="str">
        <x:v>Module Code</x:v>
      </x:c>
      <x:c r="C2" t="str">
        <x:v>PR9_Auth_UI</x:v>
      </x:c>
    </x:row>
    <x:row r="3">
      <x:c r="B3" s="41" t="str">
        <x:v>Test requirement</x:v>
      </x:c>
      <x:c r="C3" t="str">
        <x:v>PR #9 · QA key TBD</x:v>
      </x:c>
    </x:row>
    <x:row r="4">
      <x:c r="B4" s="41" t="str">
        <x:v>Reference Document</x:v>
      </x:c>
      <x:c r="C4" s="44" t="str">
        <x:v>7 independent UI checks (admin/owner authentication, sign-up UI and validation); no backend token revocation inferred.</x:v>
      </x:c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B5" s="49" t="str">
        <x:v>% Passed of tests</x:v>
      </x:c>
      <x:c r="C5" s="49" t="str">
        <x:v>Pass</x:v>
      </x:c>
      <x:c r="D5" s="49" t="str">
        <x:v>Fail</x:v>
      </x:c>
      <x:c r="E5" s="49" t="str">
        <x:v>Untested</x:v>
      </x:c>
      <x:c r="F5" s="49" t="str">
        <x:v>N/A</x:v>
      </x:c>
      <x:c r="G5" s="49" t="str">
        <x:v>Number of test cases</x:v>
      </x:c>
      <x:c r="H5" s="49" t="str">
        <x:v>Blocked</x:v>
      </x:c>
    </x:row>
    <x:row r="6" ht="24" customHeight="1">
      <x:c r="B6" s="32" t="n">
        <x:f>IFERROR(C6/G6,0)</x:f>
        <x:v>1</x:v>
      </x:c>
      <x:c r="C6" t="n">
        <x:v>7</x:v>
      </x:c>
      <x:c r="D6" t="n">
        <x:v>0</x:v>
      </x:c>
      <x:c r="E6" t="n">
        <x:v>0</x:v>
      </x:c>
      <x:c r="F6" t="n">
        <x:v>0</x:v>
      </x:c>
      <x:c r="G6" t="n">
        <x:v>7</x:v>
      </x:c>
      <x:c r="H6" t="n">
        <x:v>0</x:v>
      </x:c>
    </x:row>
    <x:row r="8" ht="28" customHeight="1">
      <x:c r="B8" s="44" t="str">
        <x:v>Nguồn: tài liệu gốc trong Historical ZIP. Tổng hợp theo nhiều commit; không suy diễn kết quả ở HEAD mới.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35" customHeight="1">
      <x:c r="B9" s="49" t="str">
        <x:v>ID</x:v>
      </x:c>
      <x:c r="C9" s="49" t="str">
        <x:v>Test Case Description</x:v>
      </x:c>
      <x:c r="D9" s="49" t="str">
        <x:v>Test Case Procedure</x:v>
      </x:c>
      <x:c r="E9" s="49" t="str">
        <x:v>Expected Results</x:v>
      </x:c>
      <x:c r="F9" s="49" t="str">
        <x:v>Inter-test case Dependence</x:v>
      </x:c>
      <x:c r="G9" s="49" t="str">
        <x:v>Result</x:v>
      </x:c>
      <x:c r="H9" s="49" t="str">
        <x:v>Test date</x:v>
      </x:c>
      <x:c r="I9" s="49" t="str">
        <x:v>Tester</x:v>
      </x:c>
      <x:c r="J9" s="49" t="str">
        <x:v>Number of tests</x:v>
      </x:c>
      <x:c r="K9" s="49" t="str">
        <x:v>Passed</x:v>
      </x:c>
      <x:c r="L9" s="49" t="str">
        <x:v>% Passed</x:v>
      </x:c>
      <x:c r="M9" s="49" t="str">
        <x:v>Note / Actual</x:v>
      </x:c>
      <x:c r="N9" s="49" t="str">
        <x:v>Testing Jira</x:v>
      </x:c>
      <x:c r="O9" s="49" t="str">
        <x:v>Baseline commit</x:v>
      </x:c>
      <x:c r="P9" s="49" t="str">
        <x:v>Evidence / source</x:v>
      </x:c>
      <x:c r="Q9" s="49" t="str">
        <x:v>Scenario type</x:v>
      </x:c>
    </x:row>
    <x:row r="10" ht="57" customHeight="1">
      <x:c r="B10" s="52" t="str">
        <x:v>[PR9-R22-04]</x:v>
      </x:c>
      <x:c r="C10" s="26" t="str">
        <x:v>Admin login</x:v>
      </x:c>
      <x:c r="D10" s="26" t="str">
        <x:v>Sign In Admin</x:v>
      </x:c>
      <x:c r="E10" s="26" t="str">
        <x:v>Authenticated admin UI</x:v>
      </x:c>
      <x:c r="F10" s="26" t="str">
        <x:v>Admin existing; FE 5173</x:v>
      </x:c>
      <x:c r="G10" s="26" t="str">
        <x:v>Pass</x:v>
      </x:c>
      <x:c r="H10" s="26" t="str">
        <x:v>2026-10-22</x:v>
      </x:c>
      <x:c r="I10" s="26" t="str">
        <x:v>QA Tester</x:v>
      </x:c>
      <x:c r="J10" s="26" t="n">
        <x:v>1</x:v>
      </x:c>
      <x:c r="K10" s="26" t="n">
        <x:f>IF(G10="Pass",1,0)</x:f>
        <x:v>1</x:v>
      </x:c>
      <x:c r="L10" s="51" t="n">
        <x:f>IFERROR(K10/J10,0)</x:f>
        <x:v>1</x:v>
      </x:c>
      <x:c r="M10" s="26" t="str">
        <x:v>Admin role menu and Applications visible
Không lặp đăng ký tài khoản</x:v>
      </x:c>
      <x:c r="N10" s="26" t="str">
        <x:v>SPARK-197 (provisional PR9 mapping; verify scope)</x:v>
      </x:c>
      <x:c r="O10" s="26" t="str">
        <x:v>05e2976d (short SHA, source-reported)</x:v>
      </x:c>
      <x:c r="P10" s="26" t="str">
        <x:v>EV-ADMIN-01 · PR9_QA_Traceability_Final.xlsx TEST_CASES; screenshot index in PR9_QA_Final_Report.docx</x:v>
      </x:c>
      <x:c r="Q10" s="26" t="str">
        <x:v>UserService origin / FE owner-onboarding / Admin auth (UI evidence)</x:v>
      </x:c>
    </x:row>
    <x:row r="11" ht="57" customHeight="1">
      <x:c r="B11" s="52" t="str">
        <x:v>[PR9-R22-05]</x:v>
      </x:c>
      <x:c r="C11" s="26" t="str">
        <x:v>Approval display</x:v>
      </x:c>
      <x:c r="D11" s="26" t="str">
        <x:v>Admin &gt; Owner Partnership Applications</x:v>
      </x:c>
      <x:c r="E11" s="26" t="str">
        <x:v>Existing APPROVED owner visible</x:v>
      </x:c>
      <x:c r="F11" s="26" t="str">
        <x:v>Owner đã được approve trong dữ liệu cũ</x:v>
      </x:c>
      <x:c r="G11" s="26" t="str">
        <x:v>Pass</x:v>
      </x:c>
      <x:c r="H11" s="26" t="str">
        <x:v>2026-10-22</x:v>
      </x:c>
      <x:c r="I11" s="26" t="str">
        <x:v>QA Tester</x:v>
      </x:c>
      <x:c r="J11" s="26" t="n">
        <x:v>1</x:v>
      </x:c>
      <x:c r="K11" s="26" t="n">
        <x:f>IF(G11="Pass",1,0)</x:f>
        <x:v>1</x:v>
      </x:c>
      <x:c r="L11" s="51" t="n">
        <x:f>IFERROR(K11/J11,0)</x:f>
        <x:v>1</x:v>
      </x:c>
      <x:c r="M11" s="26" t="str">
        <x:v>QA Test Parking APPROVED / notification sent
Display of persisted mock-send; not Gmail evidence</x:v>
      </x:c>
      <x:c r="N11" s="26" t="str">
        <x:v>SPARK-197 (provisional PR9 mapping; verify scope)</x:v>
      </x:c>
      <x:c r="O11" s="26" t="str">
        <x:v>05e2976d (short SHA, source-reported)</x:v>
      </x:c>
      <x:c r="P11" s="26" t="str">
        <x:v>EV-ADMIN-OLD · PR9_QA_Traceability_Final.xlsx TEST_CASES; screenshot index in PR9_QA_Final_Report.docx</x:v>
      </x:c>
      <x:c r="Q11" s="26" t="str">
        <x:v>UserService origin / FE owner-onboarding / Admin auth (UI evidence)</x:v>
      </x:c>
    </x:row>
    <x:row r="12" ht="57" customHeight="1">
      <x:c r="B12" s="52" t="str">
        <x:v>[PR9-R22-06]</x:v>
      </x:c>
      <x:c r="C12" s="26" t="str">
        <x:v>Owner login</x:v>
      </x:c>
      <x:c r="D12" s="26" t="str">
        <x:v>Sign In Owner</x:v>
      </x:c>
      <x:c r="E12" s="26" t="str">
        <x:v>Owner role access</x:v>
      </x:c>
      <x:c r="F12" s="26" t="str">
        <x:v>Owner QA Tester existing</x:v>
      </x:c>
      <x:c r="G12" s="26" t="str">
        <x:v>Pass</x:v>
      </x:c>
      <x:c r="H12" s="26" t="str">
        <x:v>2026-10-22</x:v>
      </x:c>
      <x:c r="I12" s="26" t="str">
        <x:v>QA Tester</x:v>
      </x:c>
      <x:c r="J12" s="26" t="n">
        <x:v>1</x:v>
      </x:c>
      <x:c r="K12" s="26" t="n">
        <x:f>IF(G12="Pass",1,0)</x:f>
        <x:v>1</x:v>
      </x:c>
      <x:c r="L12" s="51" t="n">
        <x:f>IFERROR(K12/J12,0)</x:f>
        <x:v>1</x:v>
      </x:c>
      <x:c r="M12" s="26" t="str">
        <x:v>Owner authenticated / QA Tester displayed
-</x:v>
      </x:c>
      <x:c r="N12" s="26" t="str">
        <x:v>SPARK-181 (provisional PR9 mapping; verify scope)</x:v>
      </x:c>
      <x:c r="O12" s="26" t="str">
        <x:v>05e2976d (short SHA, source-reported)</x:v>
      </x:c>
      <x:c r="P12" s="26" t="str">
        <x:v>EV-OWNER-OLD · PR9_QA_Traceability_Final.xlsx TEST_CASES; screenshot index in PR9_QA_Final_Report.docx</x:v>
      </x:c>
      <x:c r="Q12" s="26" t="str">
        <x:v>UserService origin / FE owner-onboarding / Admin auth (UI evidence)</x:v>
      </x:c>
    </x:row>
    <x:row r="13" ht="57" customHeight="1">
      <x:c r="B13" s="52" t="str">
        <x:v>[PR9-R22-09]</x:v>
      </x:c>
      <x:c r="C13" s="26" t="str">
        <x:v>Driver Signup UI</x:v>
      </x:c>
      <x:c r="D13" s="26" t="str">
        <x:v>Sign Up &gt; Driver</x:v>
      </x:c>
      <x:c r="E13" s="26" t="str">
        <x:v>Fields rendered</x:v>
      </x:c>
      <x:c r="F13" s="26" t="str">
        <x:v>Incognito, unauthenticated</x:v>
      </x:c>
      <x:c r="G13" s="26" t="str">
        <x:v>Pass</x:v>
      </x:c>
      <x:c r="H13" s="26" t="str">
        <x:v>2026-10-22</x:v>
      </x:c>
      <x:c r="I13" s="26" t="str">
        <x:v>QA Tester</x:v>
      </x:c>
      <x:c r="J13" s="26" t="n">
        <x:v>1</x:v>
      </x:c>
      <x:c r="K13" s="26" t="n">
        <x:f>IF(G13="Pass",1,0)</x:f>
        <x:v>1</x:v>
      </x:c>
      <x:c r="L13" s="51" t="n">
        <x:f>IFERROR(K13/J13,0)</x:f>
        <x:v>1</x:v>
      </x:c>
      <x:c r="M13" s="26" t="str">
        <x:v>Driver form shown with contact/password fields
UI only</x:v>
      </x:c>
      <x:c r="N13" s="26" t="str">
        <x:v>SPARK-181 (provisional PR9 mapping; verify scope)</x:v>
      </x:c>
      <x:c r="O13" s="26" t="str">
        <x:v>05e2976d (short SHA, source-reported)</x:v>
      </x:c>
      <x:c r="P13" s="26" t="str">
        <x:v>EV-UI-OLD · PR9_QA_Traceability_Final.xlsx TEST_CASES; screenshot index in PR9_QA_Final_Report.docx</x:v>
      </x:c>
      <x:c r="Q13" s="26" t="str">
        <x:v>UserService origin / FE owner-onboarding / Admin auth (UI evidence)</x:v>
      </x:c>
    </x:row>
    <x:row r="14" ht="57" customHeight="1">
      <x:c r="B14" s="52" t="str">
        <x:v>[PR9-R22-10]</x:v>
      </x:c>
      <x:c r="C14" s="26" t="str">
        <x:v>Business Signup UI</x:v>
      </x:c>
      <x:c r="D14" s="26" t="str">
        <x:v>Sign Up &gt; Business</x:v>
      </x:c>
      <x:c r="E14" s="26" t="str">
        <x:v>Business fields rendered</x:v>
      </x:c>
      <x:c r="F14" s="26" t="str">
        <x:v>Incognito, unauthenticated</x:v>
      </x:c>
      <x:c r="G14" s="26" t="str">
        <x:v>Pass</x:v>
      </x:c>
      <x:c r="H14" s="26" t="str">
        <x:v>2026-10-22</x:v>
      </x:c>
      <x:c r="I14" s="26" t="str">
        <x:v>QA Tester</x:v>
      </x:c>
      <x:c r="J14" s="26" t="n">
        <x:v>1</x:v>
      </x:c>
      <x:c r="K14" s="26" t="n">
        <x:f>IF(G14="Pass",1,0)</x:f>
        <x:v>1</x:v>
      </x:c>
      <x:c r="L14" s="51" t="n">
        <x:f>IFERROR(K14/J14,0)</x:f>
        <x:v>1</x:v>
      </x:c>
      <x:c r="M14" s="26" t="str">
        <x:v>Name, email, phone, lot type, password fields shown
UI only, did not submit</x:v>
      </x:c>
      <x:c r="N14" s="26" t="str">
        <x:v>SPARK-181 (provisional PR9 mapping; verify scope)</x:v>
      </x:c>
      <x:c r="O14" s="26" t="str">
        <x:v>05e2976d (short SHA, source-reported)</x:v>
      </x:c>
      <x:c r="P14" s="26" t="str">
        <x:v>EV-UI-OLD · PR9_QA_Traceability_Final.xlsx TEST_CASES; screenshot index in PR9_QA_Final_Report.docx</x:v>
      </x:c>
      <x:c r="Q14" s="26" t="str">
        <x:v>UserService origin / FE owner-onboarding / Admin auth (UI evidence)</x:v>
      </x:c>
    </x:row>
    <x:row r="15" ht="57" customHeight="1">
      <x:c r="B15" s="52" t="str">
        <x:v>[PR9-R22-11]</x:v>
      </x:c>
      <x:c r="C15" s="26" t="str">
        <x:v>Business empty-submit</x:v>
      </x:c>
      <x:c r="D15" s="26" t="str">
        <x:v>Click Continue to Parking Lot Setup</x:v>
      </x:c>
      <x:c r="E15" s="26" t="str">
        <x:v>Required field blocks progression</x:v>
      </x:c>
      <x:c r="F15" s="26" t="str">
        <x:v>Blank Business form</x:v>
      </x:c>
      <x:c r="G15" s="26" t="str">
        <x:v>Pass</x:v>
      </x:c>
      <x:c r="H15" s="26" t="str">
        <x:v>2026-10-22</x:v>
      </x:c>
      <x:c r="I15" s="26" t="str">
        <x:v>QA Tester</x:v>
      </x:c>
      <x:c r="J15" s="26" t="n">
        <x:v>1</x:v>
      </x:c>
      <x:c r="K15" s="26" t="n">
        <x:f>IF(G15="Pass",1,0)</x:f>
        <x:v>1</x:v>
      </x:c>
      <x:c r="L15" s="51" t="n">
        <x:f>IFERROR(K15/J15,0)</x:f>
        <x:v>1</x:v>
      </x:c>
      <x:c r="M15" s="26" t="str">
        <x:v>Browser prompt: Vui lòng điền vào trường này
Client HTML5 only; no backend submission</x:v>
      </x:c>
      <x:c r="N15" s="26" t="str">
        <x:v>SPARK-181 (provisional PR9 mapping; verify scope)</x:v>
      </x:c>
      <x:c r="O15" s="26" t="str">
        <x:v>05e2976d (short SHA, source-reported)</x:v>
      </x:c>
      <x:c r="P15" s="26" t="str">
        <x:v>EV-UI-OLD · PR9_QA_Traceability_Final.xlsx TEST_CASES; screenshot index in PR9_QA_Final_Report.docx</x:v>
      </x:c>
      <x:c r="Q15" s="26" t="str">
        <x:v>UserService origin / FE owner-onboarding / Admin auth (UI evidence)</x:v>
      </x:c>
    </x:row>
    <x:row r="16" ht="57" customHeight="1">
      <x:c r="B16" s="52" t="str">
        <x:v>[PR9-R22-12]</x:v>
      </x:c>
      <x:c r="C16" s="26" t="str">
        <x:v>Owner logout</x:v>
      </x:c>
      <x:c r="D16" s="26" t="str">
        <x:v>Logout; browser Back; hard refresh</x:v>
      </x:c>
      <x:c r="E16" s="26" t="str">
        <x:v>Private dashboard not shown</x:v>
      </x:c>
      <x:c r="F16" s="26" t="str">
        <x:v>Owner logged in</x:v>
      </x:c>
      <x:c r="G16" s="26" t="str">
        <x:v>Pass</x:v>
      </x:c>
      <x:c r="H16" s="26" t="str">
        <x:v>2026-10-22</x:v>
      </x:c>
      <x:c r="I16" s="26" t="str">
        <x:v>QA Tester</x:v>
      </x:c>
      <x:c r="J16" s="26" t="n">
        <x:v>1</x:v>
      </x:c>
      <x:c r="K16" s="26" t="n">
        <x:f>IF(G16="Pass",1,0)</x:f>
        <x:v>1</x:v>
      </x:c>
      <x:c r="L16" s="51" t="n">
        <x:f>IFERROR(K16/J16,0)</x:f>
        <x:v>1</x:v>
      </x:c>
      <x:c r="M16" s="26" t="str">
        <x:v>Public Home with Sign In / Sign Up
Source result: PASS LIMITED (UI-scope only). UI session only</x:v>
      </x:c>
      <x:c r="N16" s="26" t="str">
        <x:v>SPARK-177 (provisional PR9 mapping; verify scope)</x:v>
      </x:c>
      <x:c r="O16" s="26" t="str">
        <x:v>05e2976d (short SHA, source-reported)</x:v>
      </x:c>
      <x:c r="P16" s="26" t="str">
        <x:v>EV-LOGOUT-OLD · PR9_QA_Traceability_Final.xlsx TEST_CASES; screenshot index in PR9_QA_Final_Report.docx</x:v>
      </x:c>
      <x:c r="Q16" s="26" t="str">
        <x:v>UserService origin / FE owner-onboarding / Admin auth (UI evidence)</x:v>
      </x:c>
    </x:row>
  </x:sheetData>
  <x:mergeCells>
    <x:mergeCell ref="B1:Q1"/>
    <x:mergeCell ref="C4:Q4"/>
    <x:mergeCell ref="B8:Q8"/>
  </x:mergeCells>
  <x:conditionalFormatting sqref="G10:G16">
    <x:cfRule type="expression" dxfId="2" priority="1">
      <x:formula>G10="Fail"</x:formula>
    </x:cfRule>
    <x:cfRule type="expression" dxfId="3" priority="2">
      <x:formula>G10="Pass"</x:formula>
    </x:cfRule>
  </x:conditionalFormatting>
  <x:dataValidations count="1">
    <x:dataValidation type="list" sqref="G10:G16">
      <x:formula1>"Pass,Fail,Untested,Blocked,N/A"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22" hidden="0" customWidth="1"/>
    <x:col min="3" max="3" width="28" hidden="0" customWidth="1"/>
    <x:col min="4" max="4" width="40" hidden="0" customWidth="1"/>
    <x:col min="5" max="5" width="35" hidden="0" customWidth="1"/>
    <x:col min="6" max="6" width="27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48" hidden="0" customWidth="1"/>
    <x:col min="14" max="14" width="25" hidden="0" customWidth="1"/>
    <x:col min="15" max="15" width="25" hidden="0" customWidth="1"/>
    <x:col min="16" max="16" width="48" hidden="0" customWidth="1"/>
    <x:col min="17" max="17" width="38" hidden="0" customWidth="1"/>
  </x:cols>
  <x:sheetData>
    <x:row r="1" ht="35" customHeight="1">
      <x:c r="B1" s="39" t="str">
        <x:v>SMART PARKING  |  SP177_Planned_QA</x:v>
      </x:c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B2" s="41" t="str">
        <x:v>Module Code</x:v>
      </x:c>
      <x:c r="C2" t="str">
        <x:v>SP177_Planned_QA</x:v>
      </x:c>
    </x:row>
    <x:row r="3">
      <x:c r="B3" s="41" t="str">
        <x:v>Test requirement</x:v>
      </x:c>
      <x:c r="C3" t="str">
        <x:v>SPARK-177 (Testing task)</x:v>
      </x:c>
    </x:row>
    <x:row r="4">
      <x:c r="B4" s="41" t="str">
        <x:v>Reference Document</x:v>
      </x:c>
      <x:c r="C4" s="44" t="str">
        <x:v>15 planned QA scenarios, none executed in source gap matrix; expected results may need SRS/BA approval.</x:v>
      </x:c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B5" s="49" t="str">
        <x:v>% Passed of tests</x:v>
      </x:c>
      <x:c r="C5" s="49" t="str">
        <x:v>Pass</x:v>
      </x:c>
      <x:c r="D5" s="49" t="str">
        <x:v>Fail</x:v>
      </x:c>
      <x:c r="E5" s="49" t="str">
        <x:v>Untested</x:v>
      </x:c>
      <x:c r="F5" s="49" t="str">
        <x:v>N/A</x:v>
      </x:c>
      <x:c r="G5" s="49" t="str">
        <x:v>Number of test cases</x:v>
      </x:c>
      <x:c r="H5" s="49" t="str">
        <x:v>Blocked</x:v>
      </x:c>
    </x:row>
    <x:row r="6" ht="24" customHeight="1">
      <x:c r="B6" s="32" t="n">
        <x:f>IFERROR(C6/G6,0)</x:f>
        <x:v>0</x:v>
      </x:c>
      <x:c r="C6" t="n">
        <x:v>0</x:v>
      </x:c>
      <x:c r="D6" t="n">
        <x:v>0</x:v>
      </x:c>
      <x:c r="E6" t="n">
        <x:v>15</x:v>
      </x:c>
      <x:c r="F6" t="n">
        <x:v>0</x:v>
      </x:c>
      <x:c r="G6" t="n">
        <x:v>15</x:v>
      </x:c>
      <x:c r="H6" t="n">
        <x:v>0</x:v>
      </x:c>
    </x:row>
    <x:row r="8" ht="28" customHeight="1">
      <x:c r="B8" s="44" t="str">
        <x:v>Nguồn: tài liệu gốc trong Historical ZIP. Tổng hợp theo nhiều commit; không suy diễn kết quả ở HEAD mới.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35" customHeight="1">
      <x:c r="B9" s="49" t="str">
        <x:v>ID</x:v>
      </x:c>
      <x:c r="C9" s="49" t="str">
        <x:v>Test Case Description</x:v>
      </x:c>
      <x:c r="D9" s="49" t="str">
        <x:v>Test Case Procedure</x:v>
      </x:c>
      <x:c r="E9" s="49" t="str">
        <x:v>Expected Results</x:v>
      </x:c>
      <x:c r="F9" s="49" t="str">
        <x:v>Inter-test case Dependence</x:v>
      </x:c>
      <x:c r="G9" s="49" t="str">
        <x:v>Result</x:v>
      </x:c>
      <x:c r="H9" s="49" t="str">
        <x:v>Test date</x:v>
      </x:c>
      <x:c r="I9" s="49" t="str">
        <x:v>Tester</x:v>
      </x:c>
      <x:c r="J9" s="49" t="str">
        <x:v>Number of tests</x:v>
      </x:c>
      <x:c r="K9" s="49" t="str">
        <x:v>Passed</x:v>
      </x:c>
      <x:c r="L9" s="49" t="str">
        <x:v>% Passed</x:v>
      </x:c>
      <x:c r="M9" s="49" t="str">
        <x:v>Note / Actual</x:v>
      </x:c>
      <x:c r="N9" s="49" t="str">
        <x:v>Testing Jira</x:v>
      </x:c>
      <x:c r="O9" s="49" t="str">
        <x:v>Baseline commit</x:v>
      </x:c>
      <x:c r="P9" s="49" t="str">
        <x:v>Evidence / source</x:v>
      </x:c>
      <x:c r="Q9" s="49" t="str">
        <x:v>Scenario type</x:v>
      </x:c>
    </x:row>
    <x:row r="10" ht="57" customHeight="1">
      <x:c r="B10" s="52" t="str">
        <x:v>[SP177-OTP-001]</x:v>
      </x:c>
      <x:c r="C10" s="26" t="str">
        <x:v>OTP trước 5 phút</x:v>
      </x:c>
      <x:c r="D10" s="26" t="str">
        <x:v>Planned only (OTP); prerequisite: QA OTP enabled, controlled clock. Data: OTP từ test fixture; t &lt; 300s</x:v>
      </x:c>
      <x:c r="E10" s="26" t="str">
        <x:v>Chấp nhận/không theo quy tắc đã duyệt; log timestamp</x:v>
      </x:c>
      <x:c r="F10" s="26" t="str">
        <x:v>QA OTP enabled, controlled clock</x:v>
      </x:c>
      <x:c r="G10" s="26" t="str">
        <x:v>Untested</x:v>
      </x:c>
      <x:c r="H10" s="26" t="str"/>
      <x:c r="I10" s="26" t="str">
        <x:v>QA Tester</x:v>
      </x:c>
      <x:c r="J10" s="26" t="n">
        <x:v>1</x:v>
      </x:c>
      <x:c r="K10" s="26" t="n">
        <x:f>IF(G10="Pass",1,0)</x:f>
        <x:v>0</x:v>
      </x:c>
      <x:c r="L10" s="51" t="n">
        <x:f>IFERROR(K10/J10,0)</x:f>
        <x:v>0</x:v>
      </x:c>
      <x:c r="M10" s="26" t="str">
        <x:v>NOT EXECUTED. Verify approved SRS/baseline before running.
Source status NOT EXECUTED. Do not carry over historical demo/Fix2FA PASS.</x:v>
      </x:c>
      <x:c r="N10" s="26" t="str">
        <x:v>SPARK-177</x:v>
      </x:c>
      <x:c r="O10" s="26" t="str">
        <x:v>NOT RUN / NO CURRENT SHA</x:v>
      </x:c>
      <x:c r="P10" s="26" t="str">
        <x:v>SPARK177_Acceptance_Gap_Matrix.xlsx!Test chua du bang chung</x:v>
      </x:c>
      <x:c r="Q10" s="26" t="str">
        <x:v>Auth/OTP · planned QA only</x:v>
      </x:c>
    </x:row>
    <x:row r="11" ht="57" customHeight="1">
      <x:c r="B11" s="52" t="str">
        <x:v>[SP177-OTP-002]</x:v>
      </x:c>
      <x:c r="C11" s="26" t="str">
        <x:v>OTP tại ngưỡng đúng 5 phút</x:v>
      </x:c>
      <x:c r="D11" s="26" t="str">
        <x:v>Planned only (OTP); prerequisite: QA OTP enabled, controlled clock. Data: t = 300s</x:v>
      </x:c>
      <x:c r="E11" s="26" t="str">
        <x:v>Ứng xử ranh giới theo quyết định 06/10, không tự mặc định</x:v>
      </x:c>
      <x:c r="F11" s="26" t="str">
        <x:v>QA OTP enabled, controlled clock</x:v>
      </x:c>
      <x:c r="G11" s="26" t="str">
        <x:v>Untested</x:v>
      </x:c>
      <x:c r="H11" s="26" t="str"/>
      <x:c r="I11" s="26" t="str">
        <x:v>QA Tester</x:v>
      </x:c>
      <x:c r="J11" s="26" t="n">
        <x:v>1</x:v>
      </x:c>
      <x:c r="K11" s="26" t="n">
        <x:f>IF(G11="Pass",1,0)</x:f>
        <x:v>0</x:v>
      </x:c>
      <x:c r="L11" s="51" t="n">
        <x:f>IFERROR(K11/J11,0)</x:f>
        <x:v>0</x:v>
      </x:c>
      <x:c r="M11" s="26" t="str">
        <x:v>NOT EXECUTED. Verify approved SRS/baseline before running.
Source status NOT EXECUTED. Do not carry over historical demo/Fix2FA PASS.</x:v>
      </x:c>
      <x:c r="N11" s="26" t="str">
        <x:v>SPARK-177</x:v>
      </x:c>
      <x:c r="O11" s="26" t="str">
        <x:v>NOT RUN / NO CURRENT SHA</x:v>
      </x:c>
      <x:c r="P11" s="26" t="str">
        <x:v>SPARK177_Acceptance_Gap_Matrix.xlsx!Test chua du bang chung</x:v>
      </x:c>
      <x:c r="Q11" s="26" t="str">
        <x:v>Auth/OTP · planned QA only</x:v>
      </x:c>
    </x:row>
    <x:row r="12" ht="57" customHeight="1">
      <x:c r="B12" s="52" t="str">
        <x:v>[SP177-OTP-003]</x:v>
      </x:c>
      <x:c r="C12" s="26" t="str">
        <x:v>OTP sau 5 phút</x:v>
      </x:c>
      <x:c r="D12" s="26" t="str">
        <x:v>Planned only (OTP); prerequisite: QA OTP enabled, controlled clock. Data: t &gt; 300s</x:v>
      </x:c>
      <x:c r="E12" s="26" t="str">
        <x:v>OTP hết hạn bị từ chối; status/code theo contract</x:v>
      </x:c>
      <x:c r="F12" s="26" t="str">
        <x:v>QA OTP enabled, controlled clock</x:v>
      </x:c>
      <x:c r="G12" s="26" t="str">
        <x:v>Untested</x:v>
      </x:c>
      <x:c r="H12" s="26" t="str"/>
      <x:c r="I12" s="26" t="str">
        <x:v>QA Tester</x:v>
      </x:c>
      <x:c r="J12" s="26" t="n">
        <x:v>1</x:v>
      </x:c>
      <x:c r="K12" s="26" t="n">
        <x:f>IF(G12="Pass",1,0)</x:f>
        <x:v>0</x:v>
      </x:c>
      <x:c r="L12" s="51" t="n">
        <x:f>IFERROR(K12/J12,0)</x:f>
        <x:v>0</x:v>
      </x:c>
      <x:c r="M12" s="26" t="str">
        <x:v>NOT EXECUTED. Verify approved SRS/baseline before running.
Source status NOT EXECUTED. Do not carry over historical demo/Fix2FA PASS.</x:v>
      </x:c>
      <x:c r="N12" s="26" t="str">
        <x:v>SPARK-177</x:v>
      </x:c>
      <x:c r="O12" s="26" t="str">
        <x:v>NOT RUN / NO CURRENT SHA</x:v>
      </x:c>
      <x:c r="P12" s="26" t="str">
        <x:v>SPARK177_Acceptance_Gap_Matrix.xlsx!Test chua du bang chung</x:v>
      </x:c>
      <x:c r="Q12" s="26" t="str">
        <x:v>Auth/OTP · planned QA only</x:v>
      </x:c>
    </x:row>
    <x:row r="13" ht="57" customHeight="1">
      <x:c r="B13" s="52" t="str">
        <x:v>[SP177-OTP-004]</x:v>
      </x:c>
      <x:c r="C13" s="26" t="str">
        <x:v>Lần xác thực OTP sai thứ 3</x:v>
      </x:c>
      <x:c r="D13" s="26" t="str">
        <x:v>Planned only (OTP); prerequisite: Tài khoản synthetic, clean attempts. Data: 3 lần sai OTP; thử dùng token trước trạng thái lock</x:v>
      </x:c>
      <x:c r="E13" s="26" t="str">
        <x:v>Khóa/xử lý theo BR-AUTH đã duyệt; chứng minh trạng thái và token</x:v>
      </x:c>
      <x:c r="F13" s="26" t="str">
        <x:v>Tài khoản synthetic, clean attempts</x:v>
      </x:c>
      <x:c r="G13" s="26" t="str">
        <x:v>Untested</x:v>
      </x:c>
      <x:c r="H13" s="26" t="str"/>
      <x:c r="I13" s="26" t="str">
        <x:v>QA Tester</x:v>
      </x:c>
      <x:c r="J13" s="26" t="n">
        <x:v>1</x:v>
      </x:c>
      <x:c r="K13" s="26" t="n">
        <x:f>IF(G13="Pass",1,0)</x:f>
        <x:v>0</x:v>
      </x:c>
      <x:c r="L13" s="51" t="n">
        <x:f>IFERROR(K13/J13,0)</x:f>
        <x:v>0</x:v>
      </x:c>
      <x:c r="M13" s="26" t="str">
        <x:v>NOT EXECUTED. Verify approved SRS/baseline before running.
Source status NOT EXECUTED. Do not carry over historical demo/Fix2FA PASS.</x:v>
      </x:c>
      <x:c r="N13" s="26" t="str">
        <x:v>SPARK-177</x:v>
      </x:c>
      <x:c r="O13" s="26" t="str">
        <x:v>NOT RUN / NO CURRENT SHA</x:v>
      </x:c>
      <x:c r="P13" s="26" t="str">
        <x:v>SPARK177_Acceptance_Gap_Matrix.xlsx!Test chua du bang chung</x:v>
      </x:c>
      <x:c r="Q13" s="26" t="str">
        <x:v>Auth/OTP · planned QA only</x:v>
      </x:c>
    </x:row>
    <x:row r="14" ht="57" customHeight="1">
      <x:c r="B14" s="52" t="str">
        <x:v>[SP177-OTP-005]</x:v>
      </x:c>
      <x:c r="C14" s="26" t="str">
        <x:v>Mở khóa sau 15 phút</x:v>
      </x:c>
      <x:c r="D14" s="26" t="str">
        <x:v>Planned only (OTP); prerequisite: Locked user by approved flow. Data: 14:59, 15:00, 15:01 kiểm thử ranh giới</x:v>
      </x:c>
      <x:c r="E14" s="26" t="str">
        <x:v>Chuyển trạng thái theo policy và chặn/gỡ chặn access đúng rule</x:v>
      </x:c>
      <x:c r="F14" s="26" t="str">
        <x:v>Locked user by approved flow</x:v>
      </x:c>
      <x:c r="G14" s="26" t="str">
        <x:v>Untested</x:v>
      </x:c>
      <x:c r="H14" s="26" t="str"/>
      <x:c r="I14" s="26" t="str">
        <x:v>QA Tester</x:v>
      </x:c>
      <x:c r="J14" s="26" t="n">
        <x:v>1</x:v>
      </x:c>
      <x:c r="K14" s="26" t="n">
        <x:f>IF(G14="Pass",1,0)</x:f>
        <x:v>0</x:v>
      </x:c>
      <x:c r="L14" s="51" t="n">
        <x:f>IFERROR(K14/J14,0)</x:f>
        <x:v>0</x:v>
      </x:c>
      <x:c r="M14" s="26" t="str">
        <x:v>NOT EXECUTED. Verify approved SRS/baseline before running.
Source status NOT EXECUTED. Do not carry over historical demo/Fix2FA PASS.</x:v>
      </x:c>
      <x:c r="N14" s="26" t="str">
        <x:v>SPARK-177</x:v>
      </x:c>
      <x:c r="O14" s="26" t="str">
        <x:v>NOT RUN / NO CURRENT SHA</x:v>
      </x:c>
      <x:c r="P14" s="26" t="str">
        <x:v>SPARK177_Acceptance_Gap_Matrix.xlsx!Test chua du bang chung</x:v>
      </x:c>
      <x:c r="Q14" s="26" t="str">
        <x:v>Auth/OTP · planned QA only</x:v>
      </x:c>
    </x:row>
    <x:row r="15" ht="57" customHeight="1">
      <x:c r="B15" s="52" t="str">
        <x:v>[SP177-JWT-001]</x:v>
      </x:c>
      <x:c r="C15" s="26" t="str">
        <x:v>Access token at/beyond expiry</x:v>
      </x:c>
      <x:c r="D15" s="26" t="str">
        <x:v>Planned only (Token); prerequisite: Issued token + controlled clock. Data: t exp-1, exp, exp+1</x:v>
      </x:c>
      <x:c r="E15" s="26" t="str">
        <x:v>Access kiểm soát theo JWT expiry và configured tolerance</x:v>
      </x:c>
      <x:c r="F15" s="26" t="str">
        <x:v>Issued token + controlled clock</x:v>
      </x:c>
      <x:c r="G15" s="26" t="str">
        <x:v>Untested</x:v>
      </x:c>
      <x:c r="H15" s="26" t="str"/>
      <x:c r="I15" s="26" t="str">
        <x:v>QA Tester</x:v>
      </x:c>
      <x:c r="J15" s="26" t="n">
        <x:v>1</x:v>
      </x:c>
      <x:c r="K15" s="26" t="n">
        <x:f>IF(G15="Pass",1,0)</x:f>
        <x:v>0</x:v>
      </x:c>
      <x:c r="L15" s="51" t="n">
        <x:f>IFERROR(K15/J15,0)</x:f>
        <x:v>0</x:v>
      </x:c>
      <x:c r="M15" s="26" t="str">
        <x:v>NOT EXECUTED. Verify approved SRS/baseline before running.
Source status NOT EXECUTED. Do not carry over historical demo/Fix2FA PASS.</x:v>
      </x:c>
      <x:c r="N15" s="26" t="str">
        <x:v>SPARK-177</x:v>
      </x:c>
      <x:c r="O15" s="26" t="str">
        <x:v>NOT RUN / NO CURRENT SHA</x:v>
      </x:c>
      <x:c r="P15" s="26" t="str">
        <x:v>SPARK177_Acceptance_Gap_Matrix.xlsx!Test chua du bang chung</x:v>
      </x:c>
      <x:c r="Q15" s="26" t="str">
        <x:v>Auth/Token · planned QA only</x:v>
      </x:c>
    </x:row>
    <x:row r="16" ht="57" customHeight="1">
      <x:c r="B16" s="52" t="str">
        <x:v>[SP177-REF-001]</x:v>
      </x:c>
      <x:c r="C16" s="26" t="str">
        <x:v>Refresh token hết hạn</x:v>
      </x:c>
      <x:c r="D16" s="26" t="str">
        <x:v>Planned only (Refresh); prerequisite: Issued refresh token; controlled clock. Data: t exp-1, exp, exp+1</x:v>
      </x:c>
      <x:c r="E16" s="26" t="str">
        <x:v>Refresh hết hạn phải bị từ chối theo approved contract</x:v>
      </x:c>
      <x:c r="F16" s="26" t="str">
        <x:v>Issued refresh token; controlled clock</x:v>
      </x:c>
      <x:c r="G16" s="26" t="str">
        <x:v>Untested</x:v>
      </x:c>
      <x:c r="H16" s="26" t="str"/>
      <x:c r="I16" s="26" t="str">
        <x:v>QA Tester</x:v>
      </x:c>
      <x:c r="J16" s="26" t="n">
        <x:v>1</x:v>
      </x:c>
      <x:c r="K16" s="26" t="n">
        <x:f>IF(G16="Pass",1,0)</x:f>
        <x:v>0</x:v>
      </x:c>
      <x:c r="L16" s="51" t="n">
        <x:f>IFERROR(K16/J16,0)</x:f>
        <x:v>0</x:v>
      </x:c>
      <x:c r="M16" s="26" t="str">
        <x:v>NOT EXECUTED. Verify approved SRS/baseline before running.
Source status NOT EXECUTED. Do not carry over historical demo/Fix2FA PASS.</x:v>
      </x:c>
      <x:c r="N16" s="26" t="str">
        <x:v>SPARK-177</x:v>
      </x:c>
      <x:c r="O16" s="26" t="str">
        <x:v>NOT RUN / NO CURRENT SHA</x:v>
      </x:c>
      <x:c r="P16" s="26" t="str">
        <x:v>SPARK177_Acceptance_Gap_Matrix.xlsx!Test chua du bang chung</x:v>
      </x:c>
      <x:c r="Q16" s="26" t="str">
        <x:v>Auth/Refresh · planned QA only</x:v>
      </x:c>
    </x:row>
    <x:row r="17" ht="57" customHeight="1">
      <x:c r="B17" s="52" t="str">
        <x:v>[SP177-REF-002]</x:v>
      </x:c>
      <x:c r="C17" s="26" t="str">
        <x:v>Refresh sau logout</x:v>
      </x:c>
      <x:c r="D17" s="26" t="str">
        <x:v>Planned only (Refresh); prerequisite: Login và giữ refresh trước logout. Data: Dynamic token từ response</x:v>
      </x:c>
      <x:c r="E17" s="26" t="str">
        <x:v>Refresh bị revoke theo approved auth policy</x:v>
      </x:c>
      <x:c r="F17" s="26" t="str">
        <x:v>Login và giữ refresh trước logout</x:v>
      </x:c>
      <x:c r="G17" s="26" t="str">
        <x:v>Untested</x:v>
      </x:c>
      <x:c r="H17" s="26" t="str"/>
      <x:c r="I17" s="26" t="str">
        <x:v>QA Tester</x:v>
      </x:c>
      <x:c r="J17" s="26" t="n">
        <x:v>1</x:v>
      </x:c>
      <x:c r="K17" s="26" t="n">
        <x:f>IF(G17="Pass",1,0)</x:f>
        <x:v>0</x:v>
      </x:c>
      <x:c r="L17" s="51" t="n">
        <x:f>IFERROR(K17/J17,0)</x:f>
        <x:v>0</x:v>
      </x:c>
      <x:c r="M17" s="26" t="str">
        <x:v>NOT EXECUTED. Verify approved SRS/baseline before running.
Source status NOT EXECUTED. Do not carry over historical demo/Fix2FA PASS.</x:v>
      </x:c>
      <x:c r="N17" s="26" t="str">
        <x:v>SPARK-177</x:v>
      </x:c>
      <x:c r="O17" s="26" t="str">
        <x:v>NOT RUN / NO CURRENT SHA</x:v>
      </x:c>
      <x:c r="P17" s="26" t="str">
        <x:v>SPARK177_Acceptance_Gap_Matrix.xlsx!Test chua du bang chung</x:v>
      </x:c>
      <x:c r="Q17" s="26" t="str">
        <x:v>Auth/Refresh · planned QA only</x:v>
      </x:c>
    </x:row>
    <x:row r="18" ht="57" customHeight="1">
      <x:c r="B18" s="52" t="str">
        <x:v>[SP177-REF-003]</x:v>
      </x:c>
      <x:c r="C18" s="26" t="str">
        <x:v>Logout + refresh đồng thời</x:v>
      </x:c>
      <x:c r="D18" s="26" t="str">
        <x:v>Planned only (Concurrency); prerequisite: Phiên synthetic active. Data: Hai request race với cùng session token</x:v>
      </x:c>
      <x:c r="E18" s="26" t="str">
        <x:v>Không còn session trái policy; ghi nhận thứ tự và outcome</x:v>
      </x:c>
      <x:c r="F18" s="26" t="str">
        <x:v>Phiên synthetic active</x:v>
      </x:c>
      <x:c r="G18" s="26" t="str">
        <x:v>Untested</x:v>
      </x:c>
      <x:c r="H18" s="26" t="str"/>
      <x:c r="I18" s="26" t="str">
        <x:v>QA Tester</x:v>
      </x:c>
      <x:c r="J18" s="26" t="n">
        <x:v>1</x:v>
      </x:c>
      <x:c r="K18" s="26" t="n">
        <x:f>IF(G18="Pass",1,0)</x:f>
        <x:v>0</x:v>
      </x:c>
      <x:c r="L18" s="51" t="n">
        <x:f>IFERROR(K18/J18,0)</x:f>
        <x:v>0</x:v>
      </x:c>
      <x:c r="M18" s="26" t="str">
        <x:v>NOT EXECUTED. Verify approved SRS/baseline before running.
Source status NOT EXECUTED. Do not carry over historical demo/Fix2FA PASS.</x:v>
      </x:c>
      <x:c r="N18" s="26" t="str">
        <x:v>SPARK-177</x:v>
      </x:c>
      <x:c r="O18" s="26" t="str">
        <x:v>NOT RUN / NO CURRENT SHA</x:v>
      </x:c>
      <x:c r="P18" s="26" t="str">
        <x:v>SPARK177_Acceptance_Gap_Matrix.xlsx!Test chua du bang chung</x:v>
      </x:c>
      <x:c r="Q18" s="26" t="str">
        <x:v>Auth/Concurrency · planned QA only</x:v>
      </x:c>
    </x:row>
    <x:row r="19" ht="57" customHeight="1">
      <x:c r="B19" s="52" t="str">
        <x:v>[SP177-JWT-002]</x:v>
      </x:c>
      <x:c r="C19" s="26" t="str">
        <x:v>JWT chữ ký bị thay đổi</x:v>
      </x:c>
      <x:c r="D19" s="26" t="str">
        <x:v>Planned only (Security); prerequisite: JWT hợp lệ có sẵn từ login. Data: Sửa chữ ký, giữ header/payload format</x:v>
      </x:c>
      <x:c r="E19" s="26" t="str">
        <x:v>Bị từ chối, không lọt authorization</x:v>
      </x:c>
      <x:c r="F19" s="26" t="str">
        <x:v>JWT hợp lệ có sẵn từ login</x:v>
      </x:c>
      <x:c r="G19" s="26" t="str">
        <x:v>Untested</x:v>
      </x:c>
      <x:c r="H19" s="26" t="str"/>
      <x:c r="I19" s="26" t="str">
        <x:v>QA Tester</x:v>
      </x:c>
      <x:c r="J19" s="26" t="n">
        <x:v>1</x:v>
      </x:c>
      <x:c r="K19" s="26" t="n">
        <x:f>IF(G19="Pass",1,0)</x:f>
        <x:v>0</x:v>
      </x:c>
      <x:c r="L19" s="51" t="n">
        <x:f>IFERROR(K19/J19,0)</x:f>
        <x:v>0</x:v>
      </x:c>
      <x:c r="M19" s="26" t="str">
        <x:v>NOT EXECUTED. Verify approved SRS/baseline before running.
Source status NOT EXECUTED. Do not carry over historical demo/Fix2FA PASS.</x:v>
      </x:c>
      <x:c r="N19" s="26" t="str">
        <x:v>SPARK-177</x:v>
      </x:c>
      <x:c r="O19" s="26" t="str">
        <x:v>NOT RUN / NO CURRENT SHA</x:v>
      </x:c>
      <x:c r="P19" s="26" t="str">
        <x:v>SPARK177_Acceptance_Gap_Matrix.xlsx!Test chua du bang chung</x:v>
      </x:c>
      <x:c r="Q19" s="26" t="str">
        <x:v>Auth/Security · planned QA only</x:v>
      </x:c>
    </x:row>
    <x:row r="20" ht="57" customHeight="1">
      <x:c r="B20" s="52" t="str">
        <x:v>[SP177-AUTH-001]</x:v>
      </x:c>
      <x:c r="C20" s="26" t="str">
        <x:v>Cross-account token dùng trên account B</x:v>
      </x:c>
      <x:c r="D20" s="26" t="str">
        <x:v>Planned only (Authorization); prerequisite: 2 user synthetic A và B. Data: IDs lấy từ registration/response</x:v>
      </x:c>
      <x:c r="E20" s="26" t="str">
        <x:v>Không truy cập dữ liệu không được phép theo policy</x:v>
      </x:c>
      <x:c r="F20" s="26" t="str">
        <x:v>2 user synthetic A và B</x:v>
      </x:c>
      <x:c r="G20" s="26" t="str">
        <x:v>Untested</x:v>
      </x:c>
      <x:c r="H20" s="26" t="str"/>
      <x:c r="I20" s="26" t="str">
        <x:v>QA Tester</x:v>
      </x:c>
      <x:c r="J20" s="26" t="n">
        <x:v>1</x:v>
      </x:c>
      <x:c r="K20" s="26" t="n">
        <x:f>IF(G20="Pass",1,0)</x:f>
        <x:v>0</x:v>
      </x:c>
      <x:c r="L20" s="51" t="n">
        <x:f>IFERROR(K20/J20,0)</x:f>
        <x:v>0</x:v>
      </x:c>
      <x:c r="M20" s="26" t="str">
        <x:v>NOT EXECUTED. Verify approved SRS/baseline before running.
Source status NOT EXECUTED. Do not carry over historical demo/Fix2FA PASS.</x:v>
      </x:c>
      <x:c r="N20" s="26" t="str">
        <x:v>SPARK-177</x:v>
      </x:c>
      <x:c r="O20" s="26" t="str">
        <x:v>NOT RUN / NO CURRENT SHA</x:v>
      </x:c>
      <x:c r="P20" s="26" t="str">
        <x:v>SPARK177_Acceptance_Gap_Matrix.xlsx!Test chua du bang chung</x:v>
      </x:c>
      <x:c r="Q20" s="26" t="str">
        <x:v>Auth/Authorization · planned QA only</x:v>
      </x:c>
    </x:row>
    <x:row r="21" ht="57" customHeight="1">
      <x:c r="B21" s="52" t="str">
        <x:v>[SP177-AUTH-002]</x:v>
      </x:c>
      <x:c r="C21" s="26" t="str">
        <x:v>Permission bị revoke sau khi cấp token</x:v>
      </x:c>
      <x:c r="D21" s="26" t="str">
        <x:v>Planned only (Authorization); prerequisite: User role/permission change via authorized test fixture. Data: Old token trước revoke; new token sau revoke</x:v>
      </x:c>
      <x:c r="E21" s="26" t="str">
        <x:v>Không còn quyền bị thu hồi trong cửa sổ policy</x:v>
      </x:c>
      <x:c r="F21" s="26" t="str">
        <x:v>User role/permission change via authorized test fixture</x:v>
      </x:c>
      <x:c r="G21" s="26" t="str">
        <x:v>Untested</x:v>
      </x:c>
      <x:c r="H21" s="26" t="str"/>
      <x:c r="I21" s="26" t="str">
        <x:v>QA Tester</x:v>
      </x:c>
      <x:c r="J21" s="26" t="n">
        <x:v>1</x:v>
      </x:c>
      <x:c r="K21" s="26" t="n">
        <x:f>IF(G21="Pass",1,0)</x:f>
        <x:v>0</x:v>
      </x:c>
      <x:c r="L21" s="51" t="n">
        <x:f>IFERROR(K21/J21,0)</x:f>
        <x:v>0</x:v>
      </x:c>
      <x:c r="M21" s="26" t="str">
        <x:v>NOT EXECUTED. Verify approved SRS/baseline before running.
Source status NOT EXECUTED. Do not carry over historical demo/Fix2FA PASS.</x:v>
      </x:c>
      <x:c r="N21" s="26" t="str">
        <x:v>SPARK-177</x:v>
      </x:c>
      <x:c r="O21" s="26" t="str">
        <x:v>NOT RUN / NO CURRENT SHA</x:v>
      </x:c>
      <x:c r="P21" s="26" t="str">
        <x:v>SPARK177_Acceptance_Gap_Matrix.xlsx!Test chua du bang chung</x:v>
      </x:c>
      <x:c r="Q21" s="26" t="str">
        <x:v>Auth/Authorization · planned QA only</x:v>
      </x:c>
    </x:row>
    <x:row r="22" ht="57" customHeight="1">
      <x:c r="B22" s="52" t="str">
        <x:v>[SP177-AUTH-003]</x:v>
      </x:c>
      <x:c r="C22" s="26" t="str">
        <x:v>Disable/lock khi token còn hiệu lực</x:v>
      </x:c>
      <x:c r="D22" s="26" t="str">
        <x:v>Planned only (Authorization); prerequisite: User active token issued. Data: Before vs after disable/lock</x:v>
      </x:c>
      <x:c r="E22" s="26" t="str">
        <x:v>Token cũ bị xử lý theo security baseline</x:v>
      </x:c>
      <x:c r="F22" s="26" t="str">
        <x:v>User active token issued</x:v>
      </x:c>
      <x:c r="G22" s="26" t="str">
        <x:v>Untested</x:v>
      </x:c>
      <x:c r="H22" s="26" t="str"/>
      <x:c r="I22" s="26" t="str">
        <x:v>QA Tester</x:v>
      </x:c>
      <x:c r="J22" s="26" t="n">
        <x:v>1</x:v>
      </x:c>
      <x:c r="K22" s="26" t="n">
        <x:f>IF(G22="Pass",1,0)</x:f>
        <x:v>0</x:v>
      </x:c>
      <x:c r="L22" s="51" t="n">
        <x:f>IFERROR(K22/J22,0)</x:f>
        <x:v>0</x:v>
      </x:c>
      <x:c r="M22" s="26" t="str">
        <x:v>NOT EXECUTED. Verify approved SRS/baseline before running.
Source status NOT EXECUTED. Do not carry over historical demo/Fix2FA PASS.</x:v>
      </x:c>
      <x:c r="N22" s="26" t="str">
        <x:v>SPARK-177</x:v>
      </x:c>
      <x:c r="O22" s="26" t="str">
        <x:v>NOT RUN / NO CURRENT SHA</x:v>
      </x:c>
      <x:c r="P22" s="26" t="str">
        <x:v>SPARK177_Acceptance_Gap_Matrix.xlsx!Test chua du bang chung</x:v>
      </x:c>
      <x:c r="Q22" s="26" t="str">
        <x:v>Auth/Authorization · planned QA only</x:v>
      </x:c>
    </x:row>
    <x:row r="23" ht="57" customHeight="1">
      <x:c r="B23" s="52" t="str">
        <x:v>[SP177-MFA-001]</x:v>
      </x:c>
      <x:c r="C23" s="26" t="str">
        <x:v>Disable TOTP and re-login</x:v>
      </x:c>
      <x:c r="D23" s="26" t="str">
        <x:v>Planned only (MFA); prerequisite: TOTP enabled &amp; verified. Data: Use synthetic account, no real recovery code stored</x:v>
      </x:c>
      <x:c r="E23" s="26" t="str">
        <x:v>FE/backend state reflects disabled setting; verify session logic</x:v>
      </x:c>
      <x:c r="F23" s="26" t="str">
        <x:v>TOTP enabled &amp; verified</x:v>
      </x:c>
      <x:c r="G23" s="26" t="str">
        <x:v>Untested</x:v>
      </x:c>
      <x:c r="H23" s="26" t="str"/>
      <x:c r="I23" s="26" t="str">
        <x:v>QA Tester</x:v>
      </x:c>
      <x:c r="J23" s="26" t="n">
        <x:v>1</x:v>
      </x:c>
      <x:c r="K23" s="26" t="n">
        <x:f>IF(G23="Pass",1,0)</x:f>
        <x:v>0</x:v>
      </x:c>
      <x:c r="L23" s="51" t="n">
        <x:f>IFERROR(K23/J23,0)</x:f>
        <x:v>0</x:v>
      </x:c>
      <x:c r="M23" s="26" t="str">
        <x:v>NOT EXECUTED. Verify approved SRS/baseline before running.
Source status NOT EXECUTED. Do not carry over historical demo/Fix2FA PASS.</x:v>
      </x:c>
      <x:c r="N23" s="26" t="str">
        <x:v>SPARK-177</x:v>
      </x:c>
      <x:c r="O23" s="26" t="str">
        <x:v>NOT RUN / NO CURRENT SHA</x:v>
      </x:c>
      <x:c r="P23" s="26" t="str">
        <x:v>SPARK177_Acceptance_Gap_Matrix.xlsx!Test chua du bang chung</x:v>
      </x:c>
      <x:c r="Q23" s="26" t="str">
        <x:v>Auth/MFA · planned QA only</x:v>
      </x:c>
    </x:row>
    <x:row r="24" ht="57" customHeight="1">
      <x:c r="B24" s="52" t="str">
        <x:v>[SP177-FE-001]</x:v>
      </x:c>
      <x:c r="C24" s="26" t="str">
        <x:v>Complete Login→MFA→Logout→Back/Refresh</x:v>
      </x:c>
      <x:c r="D24" s="26" t="str">
        <x:v>Planned only (FE UAT); prerequisite: FE build confirmed and QA reviewer named. Data: Browser timestamps and synthetic account</x:v>
      </x:c>
      <x:c r="E24" s="26" t="str">
        <x:v>UI access/redirect and revoked token match approved journey</x:v>
      </x:c>
      <x:c r="F24" s="26" t="str">
        <x:v>FE build confirmed and QA reviewer named</x:v>
      </x:c>
      <x:c r="G24" s="26" t="str">
        <x:v>Untested</x:v>
      </x:c>
      <x:c r="H24" s="26" t="str"/>
      <x:c r="I24" s="26" t="str">
        <x:v>QA Tester</x:v>
      </x:c>
      <x:c r="J24" s="26" t="n">
        <x:v>1</x:v>
      </x:c>
      <x:c r="K24" s="26" t="n">
        <x:f>IF(G24="Pass",1,0)</x:f>
        <x:v>0</x:v>
      </x:c>
      <x:c r="L24" s="51" t="n">
        <x:f>IFERROR(K24/J24,0)</x:f>
        <x:v>0</x:v>
      </x:c>
      <x:c r="M24" s="26" t="str">
        <x:v>NOT EXECUTED. Verify approved SRS/baseline before running.
Source status NOT EXECUTED. Do not carry over historical demo/Fix2FA PASS.</x:v>
      </x:c>
      <x:c r="N24" s="26" t="str">
        <x:v>SPARK-177</x:v>
      </x:c>
      <x:c r="O24" s="26" t="str">
        <x:v>NOT RUN / NO CURRENT SHA</x:v>
      </x:c>
      <x:c r="P24" s="26" t="str">
        <x:v>SPARK177_Acceptance_Gap_Matrix.xlsx!Test chua du bang chung</x:v>
      </x:c>
      <x:c r="Q24" s="26" t="str">
        <x:v>Auth/FE UAT · planned QA only</x:v>
      </x:c>
    </x:row>
  </x:sheetData>
  <x:mergeCells>
    <x:mergeCell ref="B1:Q1"/>
    <x:mergeCell ref="C4:Q4"/>
    <x:mergeCell ref="B8:Q8"/>
  </x:mergeCells>
  <x:conditionalFormatting sqref="G10:G24">
    <x:cfRule type="expression" dxfId="4" priority="1">
      <x:formula>G10="Fail"</x:formula>
    </x:cfRule>
    <x:cfRule type="expression" dxfId="5" priority="2">
      <x:formula>G10="Pass"</x:formula>
    </x:cfRule>
  </x:conditionalFormatting>
  <x:dataValidations count="1">
    <x:dataValidation type="list" sqref="G10:G24">
      <x:formula1>"Pass,Fail,Untested,Blocked,N/A"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25" hidden="0" customWidth="1"/>
    <x:col min="3" max="3" width="31" hidden="0" customWidth="1"/>
    <x:col min="4" max="4" width="34" hidden="0" customWidth="1"/>
    <x:col min="5" max="5" width="48" hidden="0" customWidth="1"/>
    <x:col min="6" max="6" width="38" hidden="0" customWidth="1"/>
    <x:col min="7" max="7" width="30" hidden="0" customWidth="1"/>
  </x:cols>
  <x:sheetData>
    <x:row r="1" ht="32" customHeight="1">
      <x:c r="B1" s="39" t="str">
        <x:v>HISTORICAL RUN INDEX</x:v>
      </x:c>
      <x:c r="C1" s="39"/>
      <x:c r="D1" s="39"/>
      <x:c r="E1" s="39"/>
      <x:c r="F1" s="39"/>
      <x:c r="G1" s="39"/>
    </x:row>
    <x:row r="3">
      <x:c r="B3" s="49" t="str">
        <x:v>Task / run</x:v>
      </x:c>
      <x:c r="C3" s="49" t="str">
        <x:v>Baseline / date</x:v>
      </x:c>
      <x:c r="D3" s="49" t="str">
        <x:v>Run type</x:v>
      </x:c>
      <x:c r="E3" s="49" t="str">
        <x:v>Reported outcome</x:v>
      </x:c>
      <x:c r="F3" s="49" t="str">
        <x:v>QA interpretation</x:v>
      </x:c>
      <x:c r="G3" s="49" t="str">
        <x:v>Primary source</x:v>
      </x:c>
    </x:row>
    <x:row r="4" ht="53" customHeight="1">
      <x:c r="B4" s="26" t="str">
        <x:v>SPARK-177 RUN-01</x:v>
      </x:c>
      <x:c r="C4" s="26" t="str">
        <x:v>Demo (old, unknown SHA)</x:v>
      </x:c>
      <x:c r="D4" s="26" t="str">
        <x:v>Login/Logout API</x:v>
      </x:c>
      <x:c r="E4" s="26" t="str">
        <x:v>19 PASS; 1 unexecuted; 1 N/A</x:v>
      </x:c>
      <x:c r="F4" s="26" t="str">
        <x:v>Historical-only aggregate; not current Fix2FA outcome</x:v>
      </x:c>
      <x:c r="G4" s="26" t="str">
        <x:v>SPARK177_QA_Traceability_DRAFT.xlsx / Test runs</x:v>
      </x:c>
    </x:row>
    <x:row r="5" ht="53" customHeight="1">
      <x:c r="B5" s="26" t="str">
        <x:v>SPARK-177 RUN-02</x:v>
      </x:c>
      <x:c r="C5" s="26" t="str">
        <x:v>Fix2FA (unknown SHA)</x:v>
      </x:c>
      <x:c r="D5" s="26" t="str">
        <x:v>Manual auth/MFA</x:v>
      </x:c>
      <x:c r="E5" s="26" t="str">
        <x:v>9 PASS / 2 NOT TESTED</x:v>
      </x:c>
      <x:c r="F5" s="26" t="str">
        <x:v>Legacy summary only; do not expand to invented cases</x:v>
      </x:c>
      <x:c r="G5" s="26" t="str">
        <x:v>SPARK177_QA_Traceability_DRAFT.xlsx / Test runs</x:v>
      </x:c>
    </x:row>
    <x:row r="6" ht="53" customHeight="1">
      <x:c r="B6" s="26" t="str">
        <x:v>SPARK-177 RUN-03</x:v>
      </x:c>
      <x:c r="C6" s="26" t="str">
        <x:v>Fix2FA local</x:v>
      </x:c>
      <x:c r="D6" s="26" t="str">
        <x:v>API negative smoke</x:v>
      </x:c>
      <x:c r="E6" s="26" t="str">
        <x:v>5 PASS / 0 FAIL / 0 SKIP</x:v>
      </x:c>
      <x:c r="F6" s="26" t="str">
        <x:v>No case-level request/expected/actual in supplied ZIP</x:v>
      </x:c>
      <x:c r="G6" s="26" t="str">
        <x:v>SPARK177_QA_Traceability_DRAFT.xlsx / Test runs</x:v>
      </x:c>
    </x:row>
    <x:row r="7" ht="53" customHeight="1">
      <x:c r="B7" s="26" t="str">
        <x:v>SPARK-177 RUN-04</x:v>
      </x:c>
      <x:c r="C7" s="26" t="str">
        <x:v>2026-10-19</x:v>
      </x:c>
      <x:c r="D7" s="26" t="str">
        <x:v>UserService.Tests</x:v>
      </x:c>
      <x:c r="E7" s="26" t="str">
        <x:v>73 PASS / 0 FAIL / 26 SKIP</x:v>
      </x:c>
      <x:c r="F7" s="26" t="str">
        <x:v>Unit run only; 26 integration fixtures skipped</x:v>
      </x:c>
      <x:c r="G7" s="26" t="str">
        <x:v>SPARK177_QA_Report_DRAFT.docx</x:v>
      </x:c>
    </x:row>
    <x:row r="8" ht="53" customHeight="1">
      <x:c r="B8" s="26" t="str">
        <x:v>SPARK-177 RUN-05</x:v>
      </x:c>
      <x:c r="C8" s="26" t="str">
        <x:v>2026-10-19</x:v>
      </x:c>
      <x:c r="D8" s="26" t="str">
        <x:v>MFA exploratory</x:v>
      </x:c>
      <x:c r="E8" s="26" t="str">
        <x:v>HTTP200 challenge, 400 invalid format, later 500</x:v>
      </x:c>
      <x:c r="F8" s="26" t="str">
        <x:v>MFA 500 remains an observation; input/challenge validity unverified</x:v>
      </x:c>
      <x:c r="G8" s="26" t="str">
        <x:v>SPARK177_QA_Report_DRAFT.docx</x:v>
      </x:c>
    </x:row>
    <x:row r="9" ht="53" customHeight="1">
      <x:c r="B9" s="26" t="str">
        <x:v>SPARK-177 RUN-06</x:v>
      </x:c>
      <x:c r="C9" s="26" t="str">
        <x:v>2026-10-05</x:v>
      </x:c>
      <x:c r="D9" s="26" t="str">
        <x:v>Historical UAT 20 cases</x:v>
      </x:c>
      <x:c r="E9" s="26" t="str">
        <x:v>8 PASS / 4 FAIL / 1 BLOCKED / 7 NOT TESTED</x:v>
      </x:c>
      <x:c r="F9" s="26" t="str">
        <x:v>Different FE baseline, not current UAT</x:v>
      </x:c>
      <x:c r="G9" s="26" t="str">
        <x:v>SPARK177_QA_Traceability_DRAFT.xlsx / Test runs</x:v>
      </x:c>
    </x:row>
    <x:row r="10" ht="53" customHeight="1">
      <x:c r="B10" s="26" t="str">
        <x:v>PR9 AUTO-01</x:v>
      </x:c>
      <x:c r="C10" s="26" t="str">
        <x:v>05e2976d, 2026-10-22</x:v>
      </x:c>
      <x:c r="D10" s="26" t="str">
        <x:v>Developer .NET tests</x:v>
      </x:c>
      <x:c r="E10" s="26" t="str">
        <x:v>167 PASS / 0 FAIL / 0 SKIP</x:v>
      </x:c>
      <x:c r="F10" s="26" t="str">
        <x:v>Unit/DI group not counted as QA case</x:v>
      </x:c>
      <x:c r="G10" s="26" t="str">
        <x:v>PR9_QA_Final_Report.docx</x:v>
      </x:c>
    </x:row>
    <x:row r="11" ht="53" customHeight="1">
      <x:c r="B11" s="26" t="str">
        <x:v>PR9 FE BUILD</x:v>
      </x:c>
      <x:c r="C11" s="26" t="str">
        <x:v>05e2976d, 2026-10-22</x:v>
      </x:c>
      <x:c r="D11" s="26" t="str">
        <x:v>Frontend build</x:v>
      </x:c>
      <x:c r="E11" s="26" t="str">
        <x:v>PASS, 779 modules</x:v>
      </x:c>
      <x:c r="F11" s="26" t="str">
        <x:v>Build status only; not E2E</x:v>
      </x:c>
      <x:c r="G11" s="26" t="str">
        <x:v>PR9_QA_Final_Report.docx</x:v>
      </x:c>
    </x:row>
    <x:row r="12" ht="53" customHeight="1">
      <x:c r="B12" s="26" t="str">
        <x:v>PR9 E2E / User</x:v>
      </x:c>
      <x:c r="C12" s="26" t="str">
        <x:v>05e2976d, 2026-10-22</x:v>
      </x:c>
      <x:c r="D12" s="26" t="str">
        <x:v>User-root Owner/Admin/FE</x:v>
      </x:c>
      <x:c r="E12" s="26" t="str">
        <x:v>17 detailed case PASS (1 limited UI)</x:v>
      </x:c>
      <x:c r="F12" s="26" t="str">
        <x:v>Positive scoped success; not full token/OTP negative signoff</x:v>
      </x:c>
      <x:c r="G12" s="26" t="str">
        <x:v>PR9_QA_Traceability_Final.xlsx TEST_CASES</x:v>
      </x:c>
    </x:row>
    <x:row r="13" ht="53" customHeight="1">
      <x:c r="B13" s="26" t="str">
        <x:v>PR9 Facility UI</x:v>
      </x:c>
      <x:c r="C13" s="26" t="str">
        <x:v>05e2976d, 2026-10-22</x:v>
      </x:c>
      <x:c r="D13" s="26" t="str">
        <x:v>Site management UI</x:v>
      </x:c>
      <x:c r="E13" s="26" t="str">
        <x:v>2 UI cases PASS (provisional Facility)</x:v>
      </x:c>
      <x:c r="F13" s="26" t="str">
        <x:v>Ownership requires API/call-chain confirmation; recorded in Facility master</x:v>
      </x:c>
      <x:c r="G13" s="26" t="str">
        <x:v>PR9_QA_Traceability_Final.xlsx TEST_CASES</x:v>
      </x:c>
    </x:row>
  </x:sheetData>
  <x:mergeCells>
    <x:mergeCell ref="B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25" hidden="0" customWidth="1"/>
    <x:col min="3" max="3" width="31" hidden="0" customWidth="1"/>
    <x:col min="4" max="4" width="34" hidden="0" customWidth="1"/>
    <x:col min="5" max="5" width="48" hidden="0" customWidth="1"/>
    <x:col min="6" max="6" width="38" hidden="0" customWidth="1"/>
    <x:col min="7" max="7" width="30" hidden="0" customWidth="1"/>
  </x:cols>
  <x:sheetData>
    <x:row r="1" ht="32" customHeight="1">
      <x:c r="B1" s="39" t="str">
        <x:v>OPEN FINDINGS</x:v>
      </x:c>
      <x:c r="C1" s="39"/>
      <x:c r="D1" s="39"/>
      <x:c r="E1" s="39"/>
      <x:c r="F1" s="39"/>
      <x:c r="G1" s="39"/>
    </x:row>
    <x:row r="3">
      <x:c r="B3" s="49" t="str">
        <x:v>Work / ID</x:v>
      </x:c>
      <x:c r="C3" s="49" t="str">
        <x:v>Classification</x:v>
      </x:c>
      <x:c r="D3" s="49" t="str">
        <x:v>Source status</x:v>
      </x:c>
      <x:c r="E3" s="49" t="str">
        <x:v>Observation</x:v>
      </x:c>
      <x:c r="F3" s="49" t="str">
        <x:v>Action / boundary</x:v>
      </x:c>
      <x:c r="G3" s="49" t="str">
        <x:v>Evidence</x:v>
      </x:c>
    </x:row>
    <x:row r="4" ht="53" customHeight="1">
      <x:c r="B4" s="26" t="str">
        <x:v>SPARK-177 OBS-MFA-500</x:v>
      </x:c>
      <x:c r="C4" s="26" t="str">
        <x:v>INVESTIGATION</x:v>
      </x:c>
      <x:c r="D4" s="26" t="str">
        <x:v>OPEN</x:v>
      </x:c>
      <x:c r="E4" s="26" t="str">
        <x:v>MFA login returned HTTP 500 during exploratory test</x:v>
      </x:c>
      <x:c r="F4" s="26" t="str">
        <x:v>Validate challenge and TOTP accuracy; no proven Backend bug yet</x:v>
      </x:c>
      <x:c r="G4" s="26" t="str">
        <x:v>SPARK177_QA_Report_DRAFT.docx</x:v>
      </x:c>
    </x:row>
    <x:row r="5" ht="53" customHeight="1">
      <x:c r="B5" s="26" t="str">
        <x:v>SPARK-177 ENV-SQL</x:v>
      </x:c>
      <x:c r="C5" s="26" t="str">
        <x:v>ENVIRONMENT</x:v>
      </x:c>
      <x:c r="D5" s="26" t="str">
        <x:v>BLOCKED</x:v>
      </x:c>
      <x:c r="E5" s="26" t="str">
        <x:v>Integration SQL fixture alignment missing</x:v>
      </x:c>
      <x:c r="F5" s="26" t="str">
        <x:v>Need approved schema/fixture; 26 unit skips unrelated to case PASS</x:v>
      </x:c>
      <x:c r="G5" s="26" t="str">
        <x:v>SPARK177_QA_Traceability_DRAFT.xlsx</x:v>
      </x:c>
    </x:row>
    <x:row r="6" ht="53" customHeight="1">
      <x:c r="B6" s="26" t="str">
        <x:v>SPARK-177 NEWMAN</x:v>
      </x:c>
      <x:c r="C6" s="26" t="str">
        <x:v>AC GAP</x:v>
      </x:c>
      <x:c r="D6" s="26" t="str">
        <x:v>NOT VERIFIED</x:v>
      </x:c>
      <x:c r="E6" s="26" t="str">
        <x:v>Dynamic collection/Newman report absent</x:v>
      </x:c>
      <x:c r="F6" s="26" t="str">
        <x:v>Export sanitized Postman collection and execution report before Done</x:v>
      </x:c>
      <x:c r="G6" s="26" t="str">
        <x:v>SPARK177_QA_Report_DRAFT.docx</x:v>
      </x:c>
    </x:row>
    <x:row r="7" ht="53" customHeight="1">
      <x:c r="B7" s="26" t="str">
        <x:v>SPARK-177 UAT</x:v>
      </x:c>
      <x:c r="C7" s="26" t="str">
        <x:v>AC GAP</x:v>
      </x:c>
      <x:c r="D7" s="26" t="str">
        <x:v>NOT VERIFIED</x:v>
      </x:c>
      <x:c r="E7" s="26" t="str">
        <x:v>Current FE UAT and reviewer approval absent</x:v>
      </x:c>
      <x:c r="F7" s="26" t="str">
        <x:v>Retest on approved baseline; do not carry 05/10 results as current</x:v>
      </x:c>
      <x:c r="G7" s="26" t="str">
        <x:v>SPARK177_QA_Report_DRAFT.docx</x:v>
      </x:c>
    </x:row>
    <x:row r="8" ht="53" customHeight="1">
      <x:c r="B8" s="26" t="str">
        <x:v>PR9-R22-16</x:v>
      </x:c>
      <x:c r="C8" s="26" t="str">
        <x:v>QA GAP</x:v>
      </x:c>
      <x:c r="D8" s="26" t="str">
        <x:v>NOT RETESTED</x:v>
      </x:c>
      <x:c r="E8" s="26" t="str">
        <x:v>Expired/wrong OTP, resend and retry on new FE</x:v>
      </x:c>
      <x:c r="F8" s="26" t="str">
        <x:v>Targeted negative coverage after code change</x:v>
      </x:c>
      <x:c r="G8" s="26" t="str">
        <x:v>PR9_QA_Traceability_Final.xlsx</x:v>
      </x:c>
    </x:row>
    <x:row r="9" ht="53" customHeight="1">
      <x:c r="B9" s="26" t="str">
        <x:v>PR9-R22-17</x:v>
      </x:c>
      <x:c r="C9" s="26" t="str">
        <x:v>QA GAP</x:v>
      </x:c>
      <x:c r="D9" s="26" t="str">
        <x:v>NOT TESTED</x:v>
      </x:c>
      <x:c r="E9" s="26" t="str">
        <x:v>Post-logout access/refresh token API invalidation</x:v>
      </x:c>
      <x:c r="F9" s="26" t="str">
        <x:v>Do not infer server revocation from Logout UI</x:v>
      </x:c>
      <x:c r="G9" s="26" t="str">
        <x:v>PR9_QA_Traceability_Final.xlsx</x:v>
      </x:c>
    </x:row>
    <x:row r="10" ht="53" customHeight="1">
      <x:c r="B10" s="26" t="str">
        <x:v>PR9-R22-18</x:v>
      </x:c>
      <x:c r="C10" s="26" t="str">
        <x:v>REGRESSION GAP</x:v>
      </x:c>
      <x:c r="D10" s="26" t="str">
        <x:v>NOT RETESTED</x:v>
      </x:c>
      <x:c r="E10" s="26" t="str">
        <x:v>Driver/Operator flow regression outside narrow Owner cycle</x:v>
      </x:c>
      <x:c r="F10" s="26" t="str">
        <x:v>Coordinate scope with Leader</x:v>
      </x:c>
      <x:c r="G10" s="26" t="str">
        <x:v>PR9_QA_Traceability_Final.xlsx</x:v>
      </x:c>
    </x:row>
    <x:row r="11" ht="53" customHeight="1">
      <x:c r="B11" s="26" t="str">
        <x:v>PR9-SMTP-02</x:v>
      </x:c>
      <x:c r="C11" s="26" t="str">
        <x:v>EXTERNAL ACCOUNT</x:v>
      </x:c>
      <x:c r="D11" s="26" t="str">
        <x:v>AUTH 535 FAIL</x:v>
      </x:c>
      <x:c r="E11" s="26" t="str">
        <x:v>Shared Gmail refused credential despite TLS</x:v>
      </x:c>
      <x:c r="F11" s="26" t="str">
        <x:v>Do not label app defect; alternative SMTP E2E did PASS</x:v>
      </x:c>
      <x:c r="G11" s="26" t="str">
        <x:v>PR9_QA_Final_Report.docx</x:v>
      </x:c>
    </x:row>
    <x:row r="12" ht="53" customHeight="1">
      <x:c r="B12" s="26" t="str">
        <x:v>PR9-NEG-01</x:v>
      </x:c>
      <x:c r="C12" s="26" t="str">
        <x:v>OBSERVATION</x:v>
      </x:c>
      <x:c r="D12" s="26" t="str">
        <x:v>OBSERVED</x:v>
      </x:c>
      <x:c r="E12" s="26" t="str">
        <x:v>Duplicate contact raised AuthException; no full HTTP response</x:v>
      </x:c>
      <x:c r="F12" s="26" t="str">
        <x:v>Not PASS until HTTP contract verified</x:v>
      </x:c>
      <x:c r="G12" s="26" t="str">
        <x:v>PR9_QA_Traceability_Final.xlsx</x:v>
      </x:c>
    </x:row>
    <x:row r="13" ht="53" customHeight="1">
      <x:c r="B13" s="26" t="str">
        <x:v>PR9-R22-19</x:v>
      </x:c>
      <x:c r="C13" s="26" t="str">
        <x:v>OBSERVATION</x:v>
      </x:c>
      <x:c r="D13" s="26" t="str">
        <x:v>NEEDS CLARIFICATION</x:v>
      </x:c>
      <x:c r="E13" s="26" t="str">
        <x:v>20 planned slots vs dashboard physical capacity 0</x:v>
      </x:c>
      <x:c r="F13" s="26" t="str">
        <x:v>Check physical layout definitions; not bug without contract</x:v>
      </x:c>
      <x:c r="G13" s="26" t="str">
        <x:v>PR9_QA_Traceability_Final.xlsx</x:v>
      </x:c>
    </x:row>
    <x:row r="14" ht="53" customHeight="1">
      <x:c r="B14" s="26" t="str">
        <x:v>PR9 duplicate handling</x:v>
      </x:c>
      <x:c r="C14" s="26" t="str">
        <x:v>MIGRATION RULE</x:v>
      </x:c>
      <x:c r="D14" s="26" t="str">
        <x:v>EXCLUDED AGGREGATES</x:v>
      </x:c>
      <x:c r="E14" s="26" t="str">
        <x:v>R22-15 aggregates PR9-E2E-01..10; SMTP-01 already covered by E2E</x:v>
      </x:c>
      <x:c r="F14" s="26" t="str">
        <x:v>Not double counted</x:v>
      </x:c>
      <x:c r="G14" s="26" t="str">
        <x:v>PR9_QA_Traceability_Final.xlsx</x:v>
      </x:c>
    </x:row>
  </x:sheetData>
  <x:mergeCells>
    <x:mergeCell ref="B1:G1"/>
  </x:mergeCells>
  <x:pageMargins left="0.7" right="0.7" top="0.75" bottom="0.75" header="0.3" footer="0.3"/>
</x:worksheet>
</file>