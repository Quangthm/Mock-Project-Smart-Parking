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584F2B62-21CD-427D-81B0-71E134E929E8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Cover" sheetId="1" r:id="rId1"/>
    <sheet name="Test Report" sheetId="2" r:id="rId2"/>
    <sheet name="Test Case List" sheetId="3" r:id="rId3"/>
    <sheet name="Database_Docker" sheetId="4" r:id="rId4"/>
  </sheets>
  <externalReferences>
    <externalReference r:id="rId5"/>
  </externalReferences>
  <definedNames>
    <definedName name="_xlnm._FilterDatabase" localSheetId="3" hidden="1">Database_Docker!$B$9:$M$17</definedName>
    <definedName name="ACTION">#REF!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4" l="1"/>
  <c r="L16" i="4"/>
  <c r="L15" i="4"/>
  <c r="L14" i="4"/>
  <c r="L13" i="4"/>
  <c r="L12" i="4"/>
  <c r="L11" i="4"/>
  <c r="L10" i="4"/>
  <c r="G6" i="4"/>
  <c r="F6" i="4"/>
  <c r="E6" i="4"/>
  <c r="D6" i="4"/>
  <c r="C6" i="4"/>
  <c r="B6" i="4"/>
  <c r="I11" i="2"/>
  <c r="H11" i="2"/>
  <c r="G11" i="2"/>
  <c r="F11" i="2"/>
  <c r="E11" i="2"/>
  <c r="D11" i="2"/>
  <c r="E15" i="2" s="1"/>
  <c r="C5" i="2"/>
  <c r="D12" i="2" l="1"/>
  <c r="E12" i="2"/>
  <c r="F12" i="2"/>
  <c r="G12" i="2"/>
  <c r="H12" i="2"/>
  <c r="E16" i="2" l="1"/>
  <c r="I12" i="2"/>
</calcChain>
</file>

<file path=xl/sharedStrings.xml><?xml version="1.0" encoding="utf-8"?>
<sst xmlns="http://schemas.openxmlformats.org/spreadsheetml/2006/main" count="152" uniqueCount="111">
  <si>
    <t>DATABASE &amp; DOCKER TEST</t>
  </si>
  <si>
    <t>Project Name</t>
  </si>
  <si>
    <t>Smart Parking System</t>
  </si>
  <si>
    <t>Creator</t>
  </si>
  <si>
    <t>Hoàng Phan</t>
  </si>
  <si>
    <t>Project Code</t>
  </si>
  <si>
    <t>N/A</t>
  </si>
  <si>
    <t>Reviewer/Approver</t>
  </si>
  <si>
    <t>Pending review</t>
  </si>
  <si>
    <t>Document Code</t>
  </si>
  <si>
    <t>Database Docker Test v1.0</t>
  </si>
  <si>
    <t>Issue Date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</si>
  <si>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</si>
  <si>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</si>
  <si>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</si>
  <si>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</si>
  <si>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</si>
  <si>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</si>
  <si>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</si>
  <si>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</si>
  <si>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Database/Docker integration verification</t>
  </si>
  <si>
    <t>M</t>
  </si>
  <si>
    <t>Adapted from supplied template for assigned database and Docker smoke test.</t>
  </si>
  <si>
    <t>Assigned task</t>
  </si>
  <si>
    <t>DATABASE &amp; DOCKER TEST REPORT</t>
  </si>
  <si>
    <t>Notes</t>
  </si>
  <si>
    <t>Database/Docker integration smoke test. API and business-function testing excluded.</t>
  </si>
  <si>
    <t>No</t>
  </si>
  <si>
    <t>Module code</t>
  </si>
  <si>
    <t>Pass</t>
  </si>
  <si>
    <t>Fail</t>
  </si>
  <si>
    <t>Untested</t>
  </si>
  <si>
    <t>Number of  test cases</t>
  </si>
  <si>
    <t>% Passed of tests</t>
  </si>
  <si>
    <t>Database_Docker</t>
  </si>
  <si>
    <t>Sub total</t>
  </si>
  <si>
    <t>Test coverage</t>
  </si>
  <si>
    <t>Test successful coverage</t>
  </si>
  <si>
    <t>Test passed percentage</t>
  </si>
  <si>
    <t>TEST CASE LIST</t>
  </si>
  <si>
    <t>Test Environment Setup Description</t>
  </si>
  <si>
    <t>Docker Desktop Linux containers; PostgreSQL 16-alpine; combined schema integration and remaining-services Compose configuration; legacy DB port 5433; new DB ports 5441-5446.</t>
  </si>
  <si>
    <t>Function Name</t>
  </si>
  <si>
    <t>Sheet Name</t>
  </si>
  <si>
    <t>Description</t>
  </si>
  <si>
    <t>Pre-Condition</t>
  </si>
  <si>
    <t>Verify that six new database containers run concurrently with the existing database and accept TCP/basic SQL connections.</t>
  </si>
  <si>
    <t>Docker Desktop running; develop QA worktree available; required environment configuration available locally.</t>
  </si>
  <si>
    <t>Module Code</t>
  </si>
  <si>
    <t>Test requirement</t>
  </si>
  <si>
    <t>Verify database Docker coexistence and basic connectivity</t>
  </si>
  <si>
    <t>Reference Document</t>
  </si>
  <si>
    <t>Repository Compose files and database setup scripts on develop</t>
  </si>
  <si>
    <t>Number of Test cases</t>
  </si>
  <si>
    <t>ID</t>
  </si>
  <si>
    <t>Test Case Description</t>
  </si>
  <si>
    <t>Test Case Procedure</t>
  </si>
  <si>
    <t>Expected Results</t>
  </si>
  <si>
    <t>Inter-test case Dependence</t>
  </si>
  <si>
    <t>Result</t>
  </si>
  <si>
    <t>Test date</t>
  </si>
  <si>
    <t>Tester</t>
  </si>
  <si>
    <t>Number of tests</t>
  </si>
  <si>
    <t>Passed</t>
  </si>
  <si>
    <t>% Passed</t>
  </si>
  <si>
    <t>Note</t>
  </si>
  <si>
    <t>[DBDOCKER-001]</t>
  </si>
  <si>
    <t>Validate combined Compose configuration</t>
  </si>
  <si>
    <t>Run docker compose with compose.schema-integration.yml and scripts/database/compose.remaining-services.yml using --profile remaining and config --quiet.</t>
  </si>
  <si>
    <t>Compose configuration validates without errors.</t>
  </si>
  <si>
    <t>None</t>
  </si>
  <si>
    <t>PASS</t>
  </si>
  <si>
    <t>Configuration validation completed successfully.</t>
  </si>
  <si>
    <t>[DBDOCKER-002]</t>
  </si>
  <si>
    <t>Start six new database services together</t>
  </si>
  <si>
    <t>Run the combined Docker Compose command with --profile remaining up -d --wait.</t>
  </si>
  <si>
    <t>All six new database containers start and become healthy.</t>
  </si>
  <si>
    <t>DBDOCKER-001</t>
  </si>
  <si>
    <t>User, Parking, Reservation, Payment, Notification, and IoT database containers reported healthy.</t>
  </si>
  <si>
    <t>[DBDOCKER-003]</t>
  </si>
  <si>
    <t>Verify concurrent operation with the legacy database</t>
  </si>
  <si>
    <t>Inspect docker ps after startup.</t>
  </si>
  <si>
    <t>Legacy database and all six new database containers are running concurrently.</t>
  </si>
  <si>
    <t>DBDOCKER-002</t>
  </si>
  <si>
    <t>smartparking_db and all six smartpark-schema database containers were running.</t>
  </si>
  <si>
    <t>[DBDOCKER-004]</t>
  </si>
  <si>
    <t>Verify published TCP ports</t>
  </si>
  <si>
    <t>Run Test-NetConnection to 127.0.0.1 on ports 5433 and 5441-5446.</t>
  </si>
  <si>
    <t>All seven database ports accept TCP connections.</t>
  </si>
  <si>
    <t>TcpConnect=True for all seven tested ports.</t>
  </si>
  <si>
    <t>[DBDOCKER-005]</t>
  </si>
  <si>
    <t>Verify basic SQL connectivity</t>
  </si>
  <si>
    <t>Run psql SELECT 1; against the legacy database and each of the six new databases.</t>
  </si>
  <si>
    <t>Each database accepts the connection and returns 1.</t>
  </si>
  <si>
    <t>All seven database query checks returned 1.</t>
  </si>
  <si>
    <t>[DBDOCKER-006]</t>
  </si>
  <si>
    <t>Inspect current User DB health and recent logs</t>
  </si>
  <si>
    <t>Inspect the current container health status and recent log window.</t>
  </si>
  <si>
    <t>Current health is healthy and no current failure is indicated by the inspected recent log window.</t>
  </si>
  <si>
    <t>User DB health was healthy with failing streak 0; recent logs included the ready-for-connections message.</t>
  </si>
  <si>
    <t>[DBDOCKER-007]</t>
  </si>
  <si>
    <t>Verify fresh-volume initialization and full schema</t>
  </si>
  <si>
    <t>Review startup logs and volume reuse evidence.</t>
  </si>
  <si>
    <t>Fresh-volume initialization and full schema validation are not confirmed unless the checks are executed.</t>
  </si>
  <si>
    <t>Not applicable to the smoke-test result</t>
  </si>
  <si>
    <t>Existing data directory was reused; initialization was skipped. Full schema/fresh-volume checks were not performed.</t>
  </si>
  <si>
    <t>[DBDOCKER-008]</t>
  </si>
  <si>
    <t>Validate full setup.ps1 workflow</t>
  </si>
  <si>
    <t>The full setup.ps1 workflow was not executed. Record this test as N/A based on the actual test scope.</t>
  </si>
  <si>
    <t>Report accurately states whether the full setup workflow was executed.</t>
  </si>
  <si>
    <t>The full setup.ps1 workflow was not executed; direct Compose and database checks were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</si>
</sst>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yyyy\-mm\-dd\ h:mm:ss"/>
    <numFmt numFmtId="166" formatCode="d/m/yyyy"/>
    <numFmt numFmtId="167" formatCode="0.0%"/>
  </numFmts>
  <fonts count="21">
    <font>
      <sz val="11"/>
      <color theme="1"/>
      <name val="Calibri"/>
      <scheme val="minor"/>
    </font>
    <font>
      <sz val="10"/>
      <color theme="1"/>
      <name val="Tahoma"/>
    </font>
    <font>
      <sz val="11"/>
      <color theme="1"/>
      <name val="Calibri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rgb="FF000000"/>
      <name val="Tahoma"/>
    </font>
    <font>
      <b/>
      <sz val="10"/>
      <color rgb="FF993300"/>
      <name val="Tahoma"/>
    </font>
    <font>
      <i/>
      <sz val="10"/>
      <color rgb="FF008000"/>
      <name val="Tahoma"/>
    </font>
    <font>
      <sz val="10"/>
      <color rgb="FF000000"/>
      <name val="Tahoma"/>
    </font>
    <font>
      <b/>
      <sz val="10"/>
      <color rgb="FFFFFFFF"/>
      <name val="Tahoma"/>
    </font>
    <font>
      <sz val="11"/>
      <color rgb="FF000000"/>
      <name val="Tahoma"/>
    </font>
    <font>
      <sz val="11"/>
      <color theme="1"/>
      <name val="Tahoma"/>
    </font>
    <font>
      <b/>
      <sz val="10"/>
      <color theme="1"/>
      <name val="Tahoma"/>
    </font>
    <font>
      <b/>
      <sz val="10"/>
      <color rgb="FF0000FF"/>
      <name val="Tahoma"/>
    </font>
    <font>
      <sz val="11"/>
      <color rgb="FF000000"/>
      <name val="Calibri"/>
    </font>
    <font>
      <b/>
      <sz val="10"/>
      <color rgb="FF000000"/>
      <name val="Tahoma"/>
    </font>
    <font>
      <b/>
      <sz val="10"/>
      <color rgb="FFFF0000"/>
      <name val="Tahoma"/>
    </font>
    <font>
      <u/>
      <sz val="11"/>
      <color theme="4"/>
      <name val="Calibri"/>
    </font>
    <font>
      <u/>
      <sz val="11"/>
      <color rgb="FF0000FF"/>
      <name val="Calibri"/>
    </font>
    <font>
      <b/>
      <i/>
      <sz val="10"/>
      <color theme="1"/>
      <name val="Tahoma"/>
    </font>
    <font>
      <sz val="10"/>
      <color rgb="FF000000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theme="8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</borders>
  <cellStyleXfs count="1">
    <xf numFmtId="0" fontId="0" fillId="0" borderId="9"/>
  </cellStyleXfs>
  <cellXfs count="138">
    <xf numFmtId="0" fontId="0" fillId="0" borderId="0" xfId="0" applyBorder="1" applyAlignment="1">
      <alignment vertical="center"/>
    </xf>
    <xf numFmtId="0" fontId="2" fillId="0" borderId="0" xfId="0" applyFont="1" applyBorder="1"/>
    <xf numFmtId="164" fontId="8" fillId="2" borderId="3" xfId="0" applyNumberFormat="1" applyFont="1" applyFill="1" applyBorder="1" applyAlignment="1">
      <alignment horizontal="left" vertical="top"/>
    </xf>
    <xf numFmtId="164" fontId="10" fillId="0" borderId="1" xfId="0" applyNumberFormat="1" applyFont="1" applyBorder="1" applyAlignment="1">
      <alignment vertical="top" wrapText="1"/>
    </xf>
    <xf numFmtId="49" fontId="11" fillId="0" borderId="1" xfId="0" applyNumberFormat="1" applyFont="1" applyBorder="1" applyAlignment="1">
      <alignment vertical="top"/>
    </xf>
    <xf numFmtId="0" fontId="11" fillId="0" borderId="1" xfId="0" applyFont="1" applyBorder="1" applyAlignment="1">
      <alignment vertical="top"/>
    </xf>
    <xf numFmtId="15" fontId="11" fillId="0" borderId="1" xfId="0" applyNumberFormat="1" applyFont="1" applyBorder="1" applyAlignment="1">
      <alignment vertical="top"/>
    </xf>
    <xf numFmtId="0" fontId="6" fillId="2" borderId="3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center" wrapText="1"/>
    </xf>
    <xf numFmtId="0" fontId="12" fillId="2" borderId="17" xfId="0" applyFont="1" applyFill="1" applyBorder="1" applyAlignment="1">
      <alignment vertical="top" wrapText="1"/>
    </xf>
    <xf numFmtId="0" fontId="7" fillId="2" borderId="20" xfId="0" applyFont="1" applyFill="1" applyBorder="1" applyAlignment="1">
      <alignment wrapText="1"/>
    </xf>
    <xf numFmtId="0" fontId="12" fillId="2" borderId="21" xfId="0" applyFont="1" applyFill="1" applyBorder="1" applyAlignment="1">
      <alignment vertical="top" wrapText="1"/>
    </xf>
    <xf numFmtId="0" fontId="7" fillId="2" borderId="22" xfId="0" applyFont="1" applyFill="1" applyBorder="1" applyAlignment="1">
      <alignment wrapText="1"/>
    </xf>
    <xf numFmtId="0" fontId="19" fillId="2" borderId="21" xfId="0" applyFont="1" applyFill="1" applyBorder="1" applyAlignment="1">
      <alignment horizontal="center" vertical="top" wrapText="1"/>
    </xf>
    <xf numFmtId="0" fontId="19" fillId="2" borderId="1" xfId="0" applyFont="1" applyFill="1" applyBorder="1" applyAlignment="1">
      <alignment horizontal="center" vertical="top" wrapText="1"/>
    </xf>
    <xf numFmtId="0" fontId="19" fillId="2" borderId="22" xfId="0" applyFont="1" applyFill="1" applyBorder="1" applyAlignment="1">
      <alignment horizontal="center" vertical="top" wrapText="1"/>
    </xf>
    <xf numFmtId="3" fontId="1" fillId="2" borderId="24" xfId="0" applyNumberFormat="1" applyFont="1" applyFill="1" applyBorder="1" applyAlignment="1">
      <alignment horizontal="center" vertical="top" wrapText="1"/>
    </xf>
    <xf numFmtId="3" fontId="1" fillId="2" borderId="25" xfId="0" applyNumberFormat="1" applyFont="1" applyFill="1" applyBorder="1" applyAlignment="1">
      <alignment horizontal="center" vertical="top" wrapText="1"/>
    </xf>
    <xf numFmtId="0" fontId="14" fillId="0" borderId="9" xfId="0" applyFont="1"/>
    <xf numFmtId="0" fontId="3" fillId="2" borderId="9" xfId="0" applyFont="1" applyFill="1" applyAlignment="1">
      <alignment horizontal="center" vertical="center"/>
    </xf>
    <xf numFmtId="0" fontId="6" fillId="2" borderId="9" xfId="0" applyFont="1" applyFill="1" applyAlignment="1">
      <alignment horizontal="left"/>
    </xf>
    <xf numFmtId="0" fontId="1" fillId="2" borderId="9" xfId="0" applyFont="1" applyFill="1"/>
    <xf numFmtId="0" fontId="6" fillId="2" borderId="9" xfId="0" applyFont="1" applyFill="1"/>
    <xf numFmtId="0" fontId="12" fillId="2" borderId="9" xfId="0" applyFont="1" applyFill="1"/>
    <xf numFmtId="15" fontId="1" fillId="2" borderId="9" xfId="0" applyNumberFormat="1" applyFont="1" applyFill="1"/>
    <xf numFmtId="0" fontId="7" fillId="2" borderId="9" xfId="0" applyFont="1" applyFill="1"/>
    <xf numFmtId="0" fontId="1" fillId="2" borderId="9" xfId="0" applyFont="1" applyFill="1" applyAlignment="1">
      <alignment horizontal="center"/>
    </xf>
    <xf numFmtId="49" fontId="1" fillId="2" borderId="9" xfId="0" applyNumberFormat="1" applyFont="1" applyFill="1" applyAlignment="1">
      <alignment horizontal="left" vertical="center"/>
    </xf>
    <xf numFmtId="0" fontId="8" fillId="2" borderId="9" xfId="0" applyFont="1" applyFill="1" applyAlignment="1">
      <alignment horizontal="center" wrapText="1"/>
    </xf>
    <xf numFmtId="1" fontId="1" fillId="2" borderId="9" xfId="0" applyNumberFormat="1" applyFont="1" applyFill="1"/>
    <xf numFmtId="0" fontId="1" fillId="2" borderId="9" xfId="0" applyFont="1" applyFill="1" applyAlignment="1">
      <alignment horizontal="left"/>
    </xf>
    <xf numFmtId="0" fontId="15" fillId="2" borderId="9" xfId="0" applyFont="1" applyFill="1" applyAlignment="1">
      <alignment horizontal="left"/>
    </xf>
    <xf numFmtId="0" fontId="16" fillId="2" borderId="9" xfId="0" applyFont="1" applyFill="1" applyAlignment="1">
      <alignment horizontal="left"/>
    </xf>
    <xf numFmtId="1" fontId="6" fillId="2" borderId="9" xfId="0" applyNumberFormat="1" applyFont="1" applyFill="1"/>
    <xf numFmtId="0" fontId="1" fillId="2" borderId="9" xfId="0" applyFont="1" applyFill="1" applyAlignment="1">
      <alignment vertical="center"/>
    </xf>
    <xf numFmtId="1" fontId="1" fillId="2" borderId="9" xfId="0" applyNumberFormat="1" applyFont="1" applyFill="1" applyAlignment="1">
      <alignment vertical="center"/>
    </xf>
    <xf numFmtId="0" fontId="1" fillId="2" borderId="9" xfId="0" applyFont="1" applyFill="1" applyAlignment="1">
      <alignment horizontal="left" vertical="center"/>
    </xf>
    <xf numFmtId="0" fontId="12" fillId="2" borderId="9" xfId="0" applyFont="1" applyFill="1" applyAlignment="1">
      <alignment horizontal="center"/>
    </xf>
    <xf numFmtId="0" fontId="2" fillId="2" borderId="9" xfId="0" applyFont="1" applyFill="1" applyAlignment="1">
      <alignment horizontal="left" vertical="center"/>
    </xf>
    <xf numFmtId="0" fontId="7" fillId="2" borderId="9" xfId="0" applyFont="1" applyFill="1" applyAlignment="1">
      <alignment wrapText="1"/>
    </xf>
    <xf numFmtId="10" fontId="7" fillId="2" borderId="9" xfId="0" applyNumberFormat="1" applyFont="1" applyFill="1" applyAlignment="1">
      <alignment wrapText="1"/>
    </xf>
    <xf numFmtId="0" fontId="8" fillId="2" borderId="9" xfId="0" applyFont="1" applyFill="1" applyAlignment="1">
      <alignment wrapText="1"/>
    </xf>
    <xf numFmtId="0" fontId="1" fillId="2" borderId="9" xfId="0" applyFont="1" applyFill="1" applyAlignment="1">
      <alignment horizontal="center" wrapText="1"/>
    </xf>
    <xf numFmtId="0" fontId="9" fillId="5" borderId="29" xfId="0" applyFont="1" applyFill="1" applyBorder="1" applyAlignment="1">
      <alignment horizontal="center" vertical="center" wrapText="1"/>
    </xf>
    <xf numFmtId="10" fontId="9" fillId="5" borderId="29" xfId="0" applyNumberFormat="1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vertical="top" wrapText="1"/>
    </xf>
    <xf numFmtId="10" fontId="1" fillId="2" borderId="29" xfId="0" applyNumberFormat="1" applyFont="1" applyFill="1" applyBorder="1" applyAlignment="1">
      <alignment vertical="top" wrapText="1"/>
    </xf>
    <xf numFmtId="0" fontId="2" fillId="0" borderId="29" xfId="0" applyFont="1" applyBorder="1" applyAlignment="1">
      <alignment vertical="top" wrapText="1"/>
    </xf>
    <xf numFmtId="0" fontId="2" fillId="2" borderId="29" xfId="0" applyFont="1" applyFill="1" applyBorder="1" applyAlignment="1">
      <alignment vertical="top" wrapText="1"/>
    </xf>
    <xf numFmtId="166" fontId="1" fillId="2" borderId="29" xfId="0" applyNumberFormat="1" applyFont="1" applyFill="1" applyBorder="1" applyAlignment="1">
      <alignment vertical="top" wrapText="1"/>
    </xf>
    <xf numFmtId="0" fontId="1" fillId="0" borderId="9" xfId="0" applyFont="1" applyAlignment="1">
      <alignment horizontal="left"/>
    </xf>
    <xf numFmtId="0" fontId="1" fillId="0" borderId="9" xfId="0" applyFont="1"/>
    <xf numFmtId="0" fontId="7" fillId="0" borderId="9" xfId="0" applyFont="1" applyAlignment="1">
      <alignment horizontal="left"/>
    </xf>
    <xf numFmtId="0" fontId="0" fillId="0" borderId="0" xfId="0" applyBorder="1"/>
    <xf numFmtId="0" fontId="0" fillId="0" borderId="14" xfId="0" applyBorder="1"/>
    <xf numFmtId="0" fontId="0" fillId="0" borderId="3" xfId="0" applyBorder="1"/>
    <xf numFmtId="0" fontId="6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8" fillId="0" borderId="3" xfId="0" applyFont="1" applyBorder="1" applyAlignment="1">
      <alignment horizontal="left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" fillId="2" borderId="9" xfId="0" applyFont="1" applyFill="1" applyAlignment="1">
      <alignment horizontal="center" vertical="center" wrapText="1"/>
    </xf>
    <xf numFmtId="49" fontId="1" fillId="2" borderId="9" xfId="0" applyNumberFormat="1" applyFont="1" applyFill="1" applyAlignment="1">
      <alignment horizontal="left" vertical="center" wrapText="1"/>
    </xf>
    <xf numFmtId="1" fontId="1" fillId="2" borderId="9" xfId="0" applyNumberFormat="1" applyFont="1" applyFill="1" applyAlignment="1">
      <alignment horizontal="center" vertical="center" wrapText="1"/>
    </xf>
    <xf numFmtId="3" fontId="1" fillId="2" borderId="9" xfId="0" applyNumberFormat="1" applyFont="1" applyFill="1" applyAlignment="1">
      <alignment horizontal="center" vertical="center" wrapText="1"/>
    </xf>
    <xf numFmtId="167" fontId="1" fillId="2" borderId="9" xfId="0" applyNumberFormat="1" applyFont="1" applyFill="1" applyAlignment="1">
      <alignment horizontal="center" vertical="center" wrapText="1"/>
    </xf>
    <xf numFmtId="10" fontId="1" fillId="2" borderId="9" xfId="0" applyNumberFormat="1" applyFont="1" applyFill="1" applyAlignment="1">
      <alignment horizontal="center" vertical="center" wrapText="1"/>
    </xf>
    <xf numFmtId="0" fontId="6" fillId="2" borderId="9" xfId="0" applyFont="1" applyFill="1" applyAlignment="1">
      <alignment horizontal="left" vertical="center" wrapText="1"/>
    </xf>
    <xf numFmtId="167" fontId="13" fillId="2" borderId="9" xfId="0" applyNumberFormat="1" applyFont="1" applyFill="1" applyAlignment="1">
      <alignment horizontal="right" vertical="center" wrapText="1"/>
    </xf>
    <xf numFmtId="0" fontId="1" fillId="2" borderId="9" xfId="0" applyFont="1" applyFill="1" applyAlignment="1">
      <alignment vertical="center" wrapText="1"/>
    </xf>
    <xf numFmtId="1" fontId="9" fillId="4" borderId="15" xfId="0" applyNumberFormat="1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top" wrapText="1"/>
    </xf>
    <xf numFmtId="0" fontId="0" fillId="0" borderId="18" xfId="0" applyBorder="1"/>
    <xf numFmtId="0" fontId="0" fillId="0" borderId="19" xfId="0" applyBorder="1"/>
    <xf numFmtId="0" fontId="1" fillId="2" borderId="1" xfId="0" applyFont="1" applyFill="1" applyBorder="1" applyAlignment="1">
      <alignment horizontal="left" vertical="top" wrapText="1"/>
    </xf>
    <xf numFmtId="167" fontId="2" fillId="0" borderId="23" xfId="0" applyNumberFormat="1" applyFont="1" applyBorder="1"/>
    <xf numFmtId="0" fontId="5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9" xfId="0" applyFont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5" fillId="2" borderId="9" xfId="0" applyFont="1" applyFill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left" vertical="center" wrapText="1"/>
    </xf>
    <xf numFmtId="1" fontId="6" fillId="2" borderId="26" xfId="0" applyNumberFormat="1" applyFont="1" applyFill="1" applyBorder="1" applyAlignment="1">
      <alignment vertical="center" wrapText="1"/>
    </xf>
    <xf numFmtId="1" fontId="6" fillId="2" borderId="1" xfId="0" applyNumberFormat="1" applyFont="1" applyFill="1" applyBorder="1" applyAlignment="1">
      <alignment vertical="center" wrapText="1"/>
    </xf>
    <xf numFmtId="14" fontId="20" fillId="0" borderId="1" xfId="0" applyNumberFormat="1" applyFont="1" applyBorder="1" applyAlignment="1">
      <alignment vertical="center"/>
    </xf>
    <xf numFmtId="165" fontId="1" fillId="0" borderId="9" xfId="0" applyNumberFormat="1" applyFont="1" applyBorder="1" applyAlignment="1">
      <alignment vertical="center" wrapText="1"/>
    </xf>
    <xf numFmtId="49" fontId="11" fillId="0" borderId="3" xfId="0" applyNumberFormat="1" applyFont="1" applyBorder="1" applyAlignment="1">
      <alignment vertical="center" wrapText="1"/>
    </xf>
    <xf numFmtId="15" fontId="9" fillId="3" borderId="31" xfId="0" applyNumberFormat="1" applyFont="1" applyFill="1" applyBorder="1" applyAlignment="1">
      <alignment horizontal="center" vertical="center" wrapText="1"/>
    </xf>
    <xf numFmtId="164" fontId="10" fillId="0" borderId="27" xfId="0" applyNumberFormat="1" applyFont="1" applyBorder="1" applyAlignment="1">
      <alignment vertical="top" wrapText="1"/>
    </xf>
    <xf numFmtId="0" fontId="0" fillId="0" borderId="1" xfId="0" applyBorder="1" applyAlignment="1">
      <alignment vertical="center"/>
    </xf>
    <xf numFmtId="0" fontId="6" fillId="2" borderId="26" xfId="0" applyFont="1" applyFill="1" applyBorder="1" applyAlignment="1">
      <alignment horizontal="left" vertical="center" wrapText="1"/>
    </xf>
    <xf numFmtId="0" fontId="2" fillId="0" borderId="9" xfId="0" applyFont="1" applyBorder="1"/>
    <xf numFmtId="0" fontId="1" fillId="0" borderId="2" xfId="0" applyFont="1" applyBorder="1" applyAlignment="1">
      <alignment vertical="center" wrapText="1"/>
    </xf>
    <xf numFmtId="164" fontId="8" fillId="2" borderId="6" xfId="0" applyNumberFormat="1" applyFont="1" applyFill="1" applyBorder="1" applyAlignment="1">
      <alignment horizontal="left" vertical="center" wrapText="1"/>
    </xf>
    <xf numFmtId="0" fontId="6" fillId="2" borderId="28" xfId="0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horizontal="left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1" fillId="6" borderId="9" xfId="0" applyFont="1" applyFill="1" applyAlignment="1">
      <alignment horizontal="center"/>
    </xf>
    <xf numFmtId="0" fontId="1" fillId="6" borderId="9" xfId="0" applyFont="1" applyFill="1"/>
    <xf numFmtId="10" fontId="1" fillId="6" borderId="9" xfId="0" applyNumberFormat="1" applyFont="1" applyFill="1" applyAlignment="1">
      <alignment horizontal="center"/>
    </xf>
    <xf numFmtId="9" fontId="1" fillId="6" borderId="9" xfId="0" applyNumberFormat="1" applyFont="1" applyFill="1" applyAlignment="1">
      <alignment horizontal="center"/>
    </xf>
    <xf numFmtId="0" fontId="5" fillId="2" borderId="9" xfId="0" applyFont="1" applyFill="1" applyAlignment="1">
      <alignment horizontal="left" vertical="center"/>
    </xf>
    <xf numFmtId="0" fontId="9" fillId="4" borderId="3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9" fillId="4" borderId="33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1" fontId="1" fillId="2" borderId="28" xfId="0" applyNumberFormat="1" applyFont="1" applyFill="1" applyBorder="1" applyAlignment="1">
      <alignment vertical="center" wrapText="1"/>
    </xf>
    <xf numFmtId="49" fontId="1" fillId="2" borderId="28" xfId="0" applyNumberFormat="1" applyFont="1" applyFill="1" applyBorder="1" applyAlignment="1">
      <alignment horizontal="left" vertical="center" wrapText="1"/>
    </xf>
    <xf numFmtId="0" fontId="17" fillId="2" borderId="28" xfId="0" applyFont="1" applyFill="1" applyBorder="1" applyAlignment="1">
      <alignment horizontal="left" vertical="center" wrapText="1"/>
    </xf>
    <xf numFmtId="0" fontId="2" fillId="0" borderId="28" xfId="0" applyFont="1" applyBorder="1" applyAlignment="1">
      <alignment vertical="center"/>
    </xf>
    <xf numFmtId="0" fontId="0" fillId="0" borderId="28" xfId="0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1" fillId="0" borderId="9" xfId="0" applyFont="1" applyBorder="1"/>
    <xf numFmtId="0" fontId="0" fillId="0" borderId="9" xfId="0" applyBorder="1" applyAlignment="1"/>
    <xf numFmtId="0" fontId="0" fillId="0" borderId="14" xfId="0" applyBorder="1" applyAlignment="1"/>
    <xf numFmtId="0" fontId="0" fillId="0" borderId="3" xfId="0" applyBorder="1" applyAlignment="1"/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left" vertical="top"/>
    </xf>
    <xf numFmtId="0" fontId="7" fillId="0" borderId="9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6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15" fontId="11" fillId="0" borderId="9" xfId="0" applyNumberFormat="1" applyFont="1" applyBorder="1" applyAlignment="1">
      <alignment vertical="center" wrapText="1"/>
    </xf>
    <xf numFmtId="0" fontId="1" fillId="0" borderId="9" xfId="0" applyFont="1" applyBorder="1" applyAlignment="1">
      <alignment vertical="top"/>
    </xf>
    <xf numFmtId="0" fontId="0" fillId="0" borderId="9" xfId="0" applyBorder="1"/>
    <xf numFmtId="0" fontId="14" fillId="0" borderId="9" xfId="0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mber_Logi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ber_Logi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workbookViewId="0">
      <selection activeCell="H12" sqref="H12"/>
    </sheetView>
  </sheetViews>
  <sheetFormatPr defaultColWidth="14.42578125" defaultRowHeight="15" customHeight="1"/>
  <cols>
    <col min="1" max="1" width="8.85546875" style="53" customWidth="1"/>
    <col min="2" max="2" width="17.7109375" style="53" customWidth="1"/>
    <col min="3" max="3" width="8.85546875" style="53" customWidth="1"/>
    <col min="4" max="4" width="23.42578125" style="53" customWidth="1"/>
    <col min="5" max="5" width="15.5703125" style="53" customWidth="1"/>
    <col min="6" max="6" width="31.85546875" style="53" customWidth="1"/>
    <col min="7" max="7" width="23" style="53" customWidth="1"/>
    <col min="8" max="26" width="14.42578125" style="1" customWidth="1"/>
  </cols>
  <sheetData>
    <row r="1" spans="1:26" ht="14.25" customHeight="1">
      <c r="A1" s="124"/>
      <c r="B1" s="50"/>
      <c r="C1" s="51"/>
      <c r="D1" s="51"/>
      <c r="E1" s="124"/>
      <c r="F1" s="124"/>
      <c r="G1" s="124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72.75" customHeight="1">
      <c r="A2" s="19"/>
      <c r="B2" s="86"/>
      <c r="C2" s="125"/>
      <c r="D2" s="125"/>
      <c r="E2" s="83" t="s">
        <v>0</v>
      </c>
      <c r="F2" s="126"/>
      <c r="G2" s="127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14.25" customHeight="1">
      <c r="A3" s="124"/>
      <c r="B3" s="20"/>
      <c r="C3" s="52"/>
      <c r="D3" s="51"/>
      <c r="E3" s="124"/>
      <c r="F3" s="21"/>
      <c r="G3" s="124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spans="1:26" ht="14.25" customHeight="1">
      <c r="A4" s="124"/>
      <c r="B4" s="56" t="s">
        <v>1</v>
      </c>
      <c r="C4" s="84" t="s">
        <v>2</v>
      </c>
      <c r="D4" s="126"/>
      <c r="E4" s="127"/>
      <c r="F4" s="56" t="s">
        <v>3</v>
      </c>
      <c r="G4" s="100" t="s">
        <v>4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spans="1:26" ht="14.25" customHeight="1">
      <c r="A5" s="124"/>
      <c r="B5" s="56" t="s">
        <v>5</v>
      </c>
      <c r="C5" s="84" t="s">
        <v>6</v>
      </c>
      <c r="D5" s="126"/>
      <c r="E5" s="127"/>
      <c r="F5" s="98" t="s">
        <v>7</v>
      </c>
      <c r="G5" s="97" t="s">
        <v>8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spans="1:26" ht="14.25" customHeight="1">
      <c r="A6" s="124"/>
      <c r="B6" s="102" t="s">
        <v>9</v>
      </c>
      <c r="C6" s="128"/>
      <c r="D6" s="129" t="s">
        <v>10</v>
      </c>
      <c r="E6" s="57"/>
      <c r="F6" s="56" t="s">
        <v>11</v>
      </c>
      <c r="G6" s="101">
        <v>46307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spans="1:26" ht="14.25" customHeight="1">
      <c r="A7" s="124"/>
      <c r="B7" s="103"/>
      <c r="C7" s="58"/>
      <c r="D7" s="59"/>
      <c r="E7" s="60"/>
      <c r="F7" s="56" t="s">
        <v>12</v>
      </c>
      <c r="G7" s="61" t="s">
        <v>13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spans="1:26" ht="14.25" customHeight="1">
      <c r="A8" s="124"/>
      <c r="B8" s="22"/>
      <c r="C8" s="130"/>
      <c r="D8" s="124"/>
      <c r="E8" s="124"/>
      <c r="F8" s="20"/>
      <c r="G8" s="130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6" ht="14.25" customHeight="1">
      <c r="A9" s="124"/>
      <c r="B9" s="131"/>
      <c r="C9" s="124"/>
      <c r="D9" s="124"/>
      <c r="E9" s="124"/>
      <c r="F9" s="124"/>
      <c r="G9" s="124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spans="1:26" ht="14.25" customHeight="1">
      <c r="A10" s="124"/>
      <c r="B10" s="132" t="s">
        <v>14</v>
      </c>
      <c r="C10" s="124"/>
      <c r="D10" s="124"/>
      <c r="E10" s="124"/>
      <c r="F10" s="124"/>
      <c r="G10" s="124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spans="1:26" ht="14.25" customHeight="1">
      <c r="A11" s="133"/>
      <c r="B11" s="95" t="s">
        <v>15</v>
      </c>
      <c r="C11" s="62" t="s">
        <v>12</v>
      </c>
      <c r="D11" s="62" t="s">
        <v>16</v>
      </c>
      <c r="E11" s="62" t="s">
        <v>17</v>
      </c>
      <c r="F11" s="62" t="s">
        <v>18</v>
      </c>
      <c r="G11" s="63" t="s">
        <v>19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spans="1:26" ht="51.75" customHeight="1">
      <c r="A12" s="93"/>
      <c r="B12" s="92">
        <v>46307</v>
      </c>
      <c r="C12" s="94" t="s">
        <v>13</v>
      </c>
      <c r="D12" s="64" t="s">
        <v>20</v>
      </c>
      <c r="E12" s="64" t="s">
        <v>21</v>
      </c>
      <c r="F12" s="134" t="s">
        <v>22</v>
      </c>
      <c r="G12" s="64" t="s">
        <v>23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spans="1:26" ht="14.25" customHeight="1">
      <c r="A13" s="135"/>
      <c r="B13" s="96"/>
      <c r="C13" s="4"/>
      <c r="D13" s="5"/>
      <c r="E13" s="5"/>
      <c r="F13" s="6"/>
      <c r="G13" s="5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spans="1:26" ht="14.25" customHeight="1">
      <c r="A14" s="135"/>
      <c r="B14" s="3"/>
      <c r="C14" s="4"/>
      <c r="D14" s="5"/>
      <c r="E14" s="5"/>
      <c r="F14" s="6"/>
      <c r="G14" s="5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6" ht="14.25" customHeight="1">
      <c r="A15" s="124"/>
      <c r="B15" s="131"/>
      <c r="C15" s="124"/>
      <c r="D15" s="124"/>
      <c r="E15" s="124"/>
      <c r="F15" s="124"/>
      <c r="G15" s="124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spans="1:26" ht="14.25" customHeight="1">
      <c r="A16" s="124"/>
      <c r="B16" s="131"/>
      <c r="C16" s="124"/>
      <c r="D16" s="124"/>
      <c r="E16" s="124"/>
      <c r="F16" s="124"/>
      <c r="G16" s="124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spans="1:26" ht="14.25" customHeight="1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spans="1:26" ht="14.25" customHeight="1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spans="1:26" ht="14.25" customHeight="1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1:26" ht="14.25" customHeight="1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6" ht="14.25" customHeight="1">
      <c r="A21" s="99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spans="1:26" ht="14.25" customHeight="1">
      <c r="A22" s="99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spans="1:26" ht="14.25" customHeight="1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spans="1:26" ht="14.25" customHeight="1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spans="1:26" ht="14.25" customHeight="1">
      <c r="A25" s="9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spans="1:26" ht="14.25" customHeight="1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spans="1:26" ht="14.25" customHeight="1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spans="1:26" ht="14.25" customHeight="1">
      <c r="A28" s="99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spans="1:26" ht="14.25" customHeight="1">
      <c r="A29" s="99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spans="1:26" ht="14.25" customHeight="1">
      <c r="A30" s="99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14.25" customHeight="1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spans="1:26" ht="14.25" customHeight="1">
      <c r="A32" s="99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spans="1:26" ht="14.25" customHeight="1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spans="1:26" ht="14.25" customHeight="1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spans="1:26" ht="14.25" customHeight="1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spans="1:26" ht="14.25" customHeight="1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spans="1:26" ht="14.25" customHeight="1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spans="1:26" ht="14.25" customHeight="1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spans="1:26" ht="14.25" customHeight="1">
      <c r="A39" s="99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spans="1:26" ht="14.25" customHeight="1">
      <c r="A40" s="99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14.25" customHeight="1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spans="1:26" ht="14.25" customHeight="1">
      <c r="A42" s="99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spans="1:26" ht="14.25" customHeight="1">
      <c r="A43" s="99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spans="1:26" ht="14.25" customHeight="1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spans="1:26" ht="14.25" customHeight="1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spans="1:26" ht="14.25" customHeight="1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spans="1:26" ht="14.25" customHeight="1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spans="1:26" ht="14.25" customHeight="1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spans="1:26" ht="14.2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spans="1:26" ht="14.25" customHeight="1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spans="1:26" ht="14.25" customHeight="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spans="1:26" ht="14.25" customHeight="1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spans="1:26" ht="14.25" customHeight="1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spans="1:26" ht="14.25" customHeight="1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spans="1:26" ht="14.25" customHeight="1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spans="1:26" ht="14.25" customHeight="1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spans="1:26" ht="14.25" customHeight="1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spans="1:26" ht="14.25" customHeight="1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spans="1:26" ht="14.25" customHeight="1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spans="1:26" ht="14.25" customHeight="1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spans="1:26" ht="14.25" customHeight="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1:26" ht="14.25" customHeight="1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spans="1:26" ht="14.25" customHeight="1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spans="1:26" ht="14.25" customHeight="1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spans="1:26" ht="14.25" customHeight="1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spans="1:26" ht="14.25" customHeight="1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spans="1:26" ht="14.25" customHeight="1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spans="1:26" ht="14.25" customHeight="1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spans="1:26" ht="14.25" customHeight="1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spans="1:26" ht="14.25" customHeight="1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spans="1:26" ht="14.25" customHeight="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spans="1:26" ht="14.25" customHeight="1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spans="1:26" ht="14.25" customHeight="1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spans="1:26" ht="14.25" customHeight="1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spans="1:26" ht="14.25" customHeight="1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spans="1:26" ht="14.25" customHeight="1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spans="1:26" ht="14.25" customHeight="1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spans="1:26" ht="14.25" customHeight="1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spans="1:26" ht="14.25" customHeight="1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spans="1:26" ht="14.25" customHeight="1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spans="1:26" ht="14.25" customHeight="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spans="1:26" ht="14.25" customHeight="1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spans="1:26" ht="14.25" customHeight="1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spans="1:26" ht="14.25" customHeight="1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spans="1:26" ht="14.25" customHeight="1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spans="1:26" ht="14.25" customHeight="1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spans="1:26" ht="14.25" customHeight="1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spans="1:26" ht="14.25" customHeight="1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spans="1:26" ht="14.25" customHeight="1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spans="1:26" ht="14.25" customHeight="1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spans="1:26" ht="14.25" customHeight="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spans="1:26" ht="14.25" customHeight="1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spans="1:26" ht="14.25" customHeight="1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spans="1:26" ht="14.25" customHeight="1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spans="1:26" ht="14.25" customHeight="1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spans="1:26" ht="14.25" customHeight="1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spans="1:26" ht="14.25" customHeight="1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spans="1:26" ht="14.25" customHeight="1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spans="1:26" ht="14.25" customHeight="1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spans="1:26" ht="14.25" customHeight="1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spans="1:26" ht="14.25" customHeight="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spans="1:26" ht="14.25" customHeight="1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spans="1:26" ht="14.25" customHeight="1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spans="1:26" ht="14.25" customHeight="1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spans="1:26" ht="14.25" customHeight="1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spans="1:26" ht="14.25" customHeight="1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spans="1:26" ht="14.25" customHeight="1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spans="1:26" ht="14.25" customHeight="1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spans="1:26" ht="14.25" customHeight="1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spans="1:26" ht="14.25" customHeight="1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spans="1:26" ht="14.25" customHeight="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spans="1:26" ht="14.25" customHeight="1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spans="1:26" ht="14.25" customHeight="1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spans="1:26" ht="14.25" customHeight="1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spans="1:26" ht="14.25" customHeight="1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spans="1:26" ht="14.25" customHeight="1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spans="1:26" ht="14.25" customHeight="1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spans="1:26" ht="14.25" customHeight="1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spans="1:26" ht="14.25" customHeight="1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spans="1:26" ht="14.25" customHeight="1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spans="1:26" ht="14.25" customHeight="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spans="1:26" ht="14.25" customHeight="1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spans="1:26" ht="14.25" customHeight="1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spans="1:26" ht="14.25" customHeight="1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spans="1:26" ht="14.25" customHeight="1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spans="1:26" ht="14.25" customHeight="1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spans="1:26" ht="14.25" customHeight="1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spans="1:26" ht="14.25" customHeight="1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spans="1:26" ht="14.25" customHeight="1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spans="1:26" ht="14.25" customHeight="1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spans="1:26" ht="14.25" customHeight="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spans="1:26" ht="14.25" customHeight="1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spans="1:26" ht="14.25" customHeight="1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spans="1:26" ht="14.25" customHeight="1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spans="1:26" ht="14.25" customHeight="1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spans="1:26" ht="14.25" customHeight="1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spans="1:26" ht="14.25" customHeight="1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spans="1:26" ht="14.25" customHeight="1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spans="1:26" ht="14.25" customHeight="1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spans="1:26" ht="14.25" customHeight="1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spans="1:26" ht="14.25" customHeight="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spans="1:26" ht="14.25" customHeight="1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spans="1:26" ht="14.25" customHeight="1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spans="1:26" ht="14.25" customHeight="1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spans="1:26" ht="14.25" customHeight="1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spans="1:26" ht="14.25" customHeight="1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spans="1:26" ht="14.25" customHeight="1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spans="1:26" ht="14.25" customHeight="1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spans="1:26" ht="14.25" customHeight="1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spans="1:26" ht="14.25" customHeight="1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spans="1:26" ht="14.25" customHeight="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spans="1:26" ht="14.25" customHeight="1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spans="1:26" ht="14.25" customHeight="1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spans="1:26" ht="14.25" customHeight="1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spans="1:26" ht="14.25" customHeight="1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spans="1:26" ht="14.25" customHeight="1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spans="1:26" ht="14.25" customHeight="1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spans="1:26" ht="14.25" customHeight="1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spans="1:26" ht="14.25" customHeight="1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spans="1:26" ht="14.25" customHeight="1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spans="1:26" ht="14.25" customHeight="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spans="1:26" ht="14.25" customHeight="1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spans="1:26" ht="14.25" customHeight="1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spans="1:26" ht="14.25" customHeight="1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spans="1:26" ht="14.25" customHeight="1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spans="1:26" ht="14.25" customHeight="1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spans="1:26" ht="14.25" customHeight="1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spans="1:26" ht="14.25" customHeight="1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spans="1:26" ht="14.25" customHeight="1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spans="1:26" ht="14.25" customHeight="1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spans="1:26" ht="14.25" customHeight="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spans="1:26" ht="14.25" customHeight="1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spans="1:26" ht="14.25" customHeight="1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spans="1:26" ht="14.25" customHeight="1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spans="1:26" ht="14.25" customHeight="1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spans="1:26" ht="14.25" customHeight="1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spans="1:26" ht="14.25" customHeight="1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spans="1:26" ht="14.25" customHeight="1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spans="1:26" ht="14.25" customHeight="1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spans="1:26" ht="14.25" customHeight="1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spans="1:26" ht="14.25" customHeight="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spans="1:26" ht="14.25" customHeight="1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spans="1:26" ht="14.25" customHeight="1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spans="1:26" ht="14.25" customHeight="1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spans="1:26" ht="14.25" customHeight="1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spans="1:26" ht="14.25" customHeight="1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spans="1:26" ht="14.25" customHeight="1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spans="1:26" ht="14.25" customHeight="1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spans="1:26" ht="14.25" customHeight="1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spans="1:26" ht="14.25" customHeight="1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spans="1:26" ht="14.25" customHeight="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spans="1:26" ht="14.25" customHeight="1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spans="1:26" ht="14.25" customHeight="1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spans="1:26" ht="14.25" customHeight="1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spans="1:26" ht="14.25" customHeight="1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spans="1:26" ht="14.25" customHeight="1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spans="1:26" ht="14.25" customHeight="1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spans="1:26" ht="14.25" customHeight="1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spans="1:26" ht="14.25" customHeight="1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spans="1:26" ht="14.25" customHeight="1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spans="1:26" ht="14.25" customHeight="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spans="1:26" ht="14.25" customHeight="1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spans="1:26" ht="14.25" customHeight="1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spans="1:26" ht="14.25" customHeight="1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spans="1:26" ht="14.25" customHeight="1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spans="1:26" ht="14.25" customHeight="1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spans="1:26" ht="14.25" customHeight="1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spans="1:26" ht="14.25" customHeight="1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spans="1:26" ht="14.25" customHeight="1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spans="1:26" ht="14.25" customHeight="1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spans="1:26" ht="14.25" customHeight="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spans="1:26" ht="14.25" customHeight="1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spans="1:26" ht="14.25" customHeight="1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spans="1:26" ht="14.25" customHeight="1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spans="1:26" ht="14.25" customHeight="1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spans="1:26" ht="14.25" customHeight="1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spans="1:26" ht="15.75" customHeight="1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spans="1:26" ht="15.75" customHeight="1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spans="1:26" ht="15.75" customHeight="1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spans="1:26" ht="15.75" customHeight="1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spans="1:26" ht="15.75" customHeight="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spans="1:26" ht="15.75" customHeight="1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spans="1:26" ht="15.75" customHeight="1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spans="1:26" ht="15.75" customHeight="1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spans="1:26" ht="15.75" customHeight="1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spans="1:26" ht="15.75" customHeight="1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spans="1:26" ht="15.75" customHeight="1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spans="1:26" ht="15.75" customHeight="1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spans="1:26" ht="15.75" customHeight="1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spans="1:26" ht="15.75" customHeight="1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spans="1:26" ht="15.75" customHeight="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spans="1:26" ht="15.75" customHeight="1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spans="1:26" ht="15.75" customHeight="1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spans="1:26" ht="15.75" customHeight="1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spans="1:26" ht="15.75" customHeight="1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spans="1:26" ht="15.75" customHeight="1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spans="1:26" ht="15.75" customHeight="1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spans="1:26" ht="15.75" customHeight="1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spans="1:26" ht="15.75" customHeight="1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spans="1:26" ht="15.75" customHeight="1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spans="1:26" ht="15.75" customHeight="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spans="1:26" ht="15.75" customHeight="1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spans="1:26" ht="15.75" customHeight="1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spans="1:26" ht="15.75" customHeight="1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spans="1:26" ht="15.75" customHeight="1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spans="1:26" ht="15.75" customHeight="1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spans="1:26" ht="15.75" customHeight="1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spans="1:26" ht="15.75" customHeight="1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spans="1:26" ht="15.75" customHeight="1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spans="1:26" ht="15.75" customHeight="1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spans="1:26" ht="15.75" customHeight="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spans="1:26" ht="15.75" customHeight="1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spans="1:26" ht="15.75" customHeight="1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spans="1:26" ht="15.75" customHeight="1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spans="1:26" ht="15.75" customHeight="1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spans="1:26" ht="15.75" customHeight="1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spans="1:26" ht="15.75" customHeight="1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spans="1:26" ht="15.75" customHeight="1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spans="1:26" ht="15.75" customHeight="1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spans="1:26" ht="15.75" customHeight="1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spans="1:26" ht="15.75" customHeight="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spans="1:26" ht="15.75" customHeight="1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spans="1:26" ht="15.75" customHeight="1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spans="1:26" ht="15.75" customHeight="1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spans="1:26" ht="15.75" customHeight="1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spans="1:26" ht="15.75" customHeight="1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spans="1:26" ht="15.75" customHeight="1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spans="1:26" ht="15.75" customHeight="1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spans="1:26" ht="15.75" customHeight="1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spans="1:26" ht="15.75" customHeight="1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spans="1:26" ht="15.75" customHeight="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spans="1:26" ht="15.75" customHeight="1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spans="1:26" ht="15.75" customHeight="1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spans="1:26" ht="15.75" customHeight="1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spans="1:26" ht="15.75" customHeight="1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spans="1:26" ht="15.75" customHeight="1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spans="1:26" ht="15.75" customHeight="1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spans="1:26" ht="15.75" customHeight="1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spans="1:26" ht="15.75" customHeight="1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spans="1:26" ht="15.75" customHeight="1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spans="1:26" ht="15.75" customHeight="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spans="1:26" ht="15.75" customHeight="1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spans="1:26" ht="15.75" customHeight="1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spans="1:26" ht="15.75" customHeight="1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spans="1:26" ht="15.75" customHeight="1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spans="1:26" ht="15.75" customHeight="1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spans="1:26" ht="15.75" customHeight="1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spans="1:26" ht="15.75" customHeight="1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spans="1:26" ht="15.75" customHeight="1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spans="1:26" ht="15.75" customHeight="1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spans="1:26" ht="15.75" customHeight="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spans="1:26" ht="15.75" customHeight="1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spans="1:26" ht="15.75" customHeight="1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spans="1:26" ht="15.75" customHeight="1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spans="1:26" ht="15.75" customHeight="1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spans="1:26" ht="15.75" customHeight="1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spans="1:26" ht="15.75" customHeight="1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spans="1:26" ht="15.75" customHeight="1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spans="1:26" ht="15.75" customHeight="1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spans="1:26" ht="15.75" customHeight="1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spans="1:26" ht="15.75" customHeight="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spans="1:26" ht="15.75" customHeight="1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spans="1:26" ht="15.75" customHeight="1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spans="1:26" ht="15.75" customHeight="1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spans="1:26" ht="15.75" customHeight="1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spans="1:26" ht="15.75" customHeight="1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spans="1:26" ht="15.75" customHeight="1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spans="1:26" ht="15.75" customHeight="1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spans="1:26" ht="15.75" customHeight="1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spans="1:26" ht="15.75" customHeight="1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spans="1:26" ht="15.75" customHeight="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spans="1:26" ht="15.75" customHeight="1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spans="1:26" ht="15.75" customHeight="1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spans="1:26" ht="15.75" customHeight="1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spans="1:26" ht="15.75" customHeight="1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spans="1:26" ht="15.75" customHeight="1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spans="1:26" ht="15.75" customHeight="1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spans="1:26" ht="15.75" customHeight="1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spans="1:26" ht="15.75" customHeight="1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spans="1:26" ht="15.75" customHeight="1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spans="1:26" ht="15.75" customHeight="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spans="1:26" ht="15.75" customHeight="1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spans="1:26" ht="15.75" customHeight="1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spans="1:26" ht="15.75" customHeight="1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spans="1:26" ht="15.75" customHeight="1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spans="1:26" ht="15.75" customHeight="1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spans="1:26" ht="15.75" customHeight="1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spans="1:26" ht="15.75" customHeight="1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spans="1:26" ht="15.75" customHeight="1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spans="1:26" ht="15.75" customHeight="1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spans="1:26" ht="15.75" customHeight="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spans="1:26" ht="15.75" customHeight="1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spans="1:26" ht="15.75" customHeight="1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spans="1:26" ht="15.75" customHeight="1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spans="1:26" ht="15.75" customHeight="1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spans="1:26" ht="15.75" customHeight="1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spans="1:26" ht="15.75" customHeight="1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spans="1:26" ht="15.75" customHeight="1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spans="1:26" ht="15.75" customHeight="1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spans="1:26" ht="15.75" customHeight="1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spans="1:26" ht="15.75" customHeight="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spans="1:26" ht="15.75" customHeight="1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spans="1:26" ht="15.75" customHeight="1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spans="1:26" ht="15.75" customHeight="1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spans="1:26" ht="15.75" customHeight="1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spans="1:26" ht="15.75" customHeight="1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spans="1:26" ht="15.75" customHeight="1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spans="1:26" ht="15.75" customHeight="1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spans="1:26" ht="15.75" customHeight="1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spans="1:26" ht="15.75" customHeight="1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spans="1:26" ht="15.75" customHeight="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spans="1:26" ht="15.75" customHeight="1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spans="1:26" ht="15.75" customHeight="1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spans="1:26" ht="15.75" customHeight="1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spans="1:26" ht="15.75" customHeight="1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spans="1:26" ht="15.75" customHeight="1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spans="1:26" ht="15.75" customHeight="1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spans="1:26" ht="15.75" customHeight="1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spans="1:26" ht="15.75" customHeight="1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spans="1:26" ht="15.75" customHeight="1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spans="1:26" ht="15.75" customHeight="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spans="1:26" ht="15.75" customHeight="1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spans="1:26" ht="15.75" customHeight="1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spans="1:26" ht="15.75" customHeight="1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spans="1:26" ht="15.75" customHeight="1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spans="1:26" ht="15.75" customHeight="1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spans="1:26" ht="15.75" customHeight="1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spans="1:26" ht="15.75" customHeight="1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spans="1:26" ht="15.75" customHeight="1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spans="1:26" ht="15.75" customHeight="1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spans="1:26" ht="15.75" customHeight="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spans="1:26" ht="15.75" customHeight="1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spans="1:26" ht="15.75" customHeight="1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spans="1:26" ht="15.75" customHeight="1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spans="1:26" ht="15.75" customHeight="1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spans="1:26" ht="15.75" customHeight="1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spans="1:26" ht="15.75" customHeight="1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spans="1:26" ht="15.75" customHeight="1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spans="1:26" ht="15.75" customHeight="1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spans="1:26" ht="15.75" customHeight="1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spans="1:26" ht="15.75" customHeight="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spans="1:26" ht="15.75" customHeight="1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spans="1:26" ht="15.75" customHeight="1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spans="1:26" ht="15.75" customHeight="1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spans="1:26" ht="15.75" customHeight="1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spans="1:26" ht="15.75" customHeight="1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spans="1:26" ht="15.75" customHeight="1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spans="1:26" ht="15.75" customHeight="1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spans="1:26" ht="15.75" customHeight="1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spans="1:26" ht="15.75" customHeight="1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spans="1:26" ht="15.75" customHeight="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spans="1:26" ht="15.75" customHeight="1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spans="1:26" ht="15.75" customHeight="1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spans="1:26" ht="15.75" customHeight="1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spans="1:26" ht="15.75" customHeight="1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spans="1:26" ht="15.75" customHeight="1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spans="1:26" ht="15.75" customHeight="1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spans="1:26" ht="15.75" customHeight="1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spans="1:26" ht="15.75" customHeight="1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spans="1:26" ht="15.75" customHeight="1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spans="1:26" ht="15.75" customHeight="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spans="1:26" ht="15.75" customHeight="1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spans="1:26" ht="15.75" customHeight="1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spans="1:26" ht="15.75" customHeight="1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spans="1:26" ht="15.75" customHeight="1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spans="1:26" ht="15.75" customHeight="1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spans="1:26" ht="15.75" customHeight="1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spans="1:26" ht="15.75" customHeight="1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spans="1:26" ht="15.75" customHeight="1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spans="1:26" ht="15.75" customHeight="1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spans="1:26" ht="15.75" customHeight="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spans="1:26" ht="15.75" customHeight="1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spans="1:26" ht="15.75" customHeight="1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spans="1:26" ht="15.75" customHeight="1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spans="1:26" ht="15.75" customHeight="1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spans="1:26" ht="15.75" customHeight="1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spans="1:26" ht="15.75" customHeight="1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spans="1:26" ht="15.75" customHeight="1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spans="1:26" ht="15.75" customHeight="1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spans="1:26" ht="15.75" customHeight="1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spans="1:26" ht="15.75" customHeight="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spans="1:26" ht="15.75" customHeight="1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spans="1:26" ht="15.75" customHeight="1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spans="1:26" ht="15.75" customHeight="1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spans="1:26" ht="15.75" customHeight="1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spans="1:26" ht="15.75" customHeight="1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spans="1:26" ht="15.75" customHeight="1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spans="1:26" ht="15.75" customHeight="1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spans="1:26" ht="15.75" customHeight="1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spans="1:26" ht="15.75" customHeight="1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spans="1:26" ht="15.75" customHeight="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spans="1:26" ht="15.75" customHeight="1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spans="1:26" ht="15.75" customHeight="1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spans="1:26" ht="15.75" customHeight="1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spans="1:26" ht="15.75" customHeight="1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spans="1:26" ht="15.75" customHeight="1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spans="1:26" ht="15.75" customHeight="1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spans="1:26" ht="15.75" customHeight="1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spans="1:26" ht="15.75" customHeight="1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spans="1:26" ht="15.75" customHeight="1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spans="1:26" ht="15.75" customHeight="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spans="1:26" ht="15.75" customHeight="1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spans="1:26" ht="15.75" customHeight="1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spans="1:26" ht="15.75" customHeight="1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spans="1:26" ht="15.75" customHeight="1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spans="1:26" ht="15.75" customHeight="1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spans="1:26" ht="15.75" customHeight="1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spans="1:26" ht="15.75" customHeight="1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spans="1:26" ht="15.75" customHeight="1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spans="1:26" ht="15.75" customHeight="1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spans="1:26" ht="15.75" customHeight="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spans="1:26" ht="15.75" customHeight="1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spans="1:26" ht="15.75" customHeight="1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spans="1:26" ht="15.75" customHeight="1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spans="1:26" ht="15.75" customHeight="1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spans="1:26" ht="15.75" customHeight="1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spans="1:26" ht="15.75" customHeight="1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spans="1:26" ht="15.75" customHeight="1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spans="1:26" ht="15.75" customHeight="1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spans="1:26" ht="15.75" customHeight="1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spans="1:26" ht="15.75" customHeight="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spans="1:26" ht="15.75" customHeight="1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spans="1:26" ht="15.75" customHeight="1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spans="1:26" ht="15.75" customHeight="1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spans="1:26" ht="15.75" customHeight="1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spans="1:26" ht="15.75" customHeight="1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spans="1:26" ht="15.75" customHeight="1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spans="1:26" ht="15.75" customHeight="1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spans="1:26" ht="15.75" customHeight="1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spans="1:26" ht="15.75" customHeight="1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spans="1:26" ht="15.75" customHeight="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spans="1:26" ht="15.75" customHeight="1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spans="1:26" ht="15.75" customHeight="1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spans="1:26" ht="15.75" customHeight="1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spans="1:26" ht="15.75" customHeight="1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spans="1:26" ht="15.75" customHeight="1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spans="1:26" ht="15.75" customHeight="1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spans="1:26" ht="15.75" customHeight="1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spans="1:26" ht="15.75" customHeight="1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spans="1:26" ht="15.75" customHeight="1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spans="1:26" ht="15.75" customHeight="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spans="1:26" ht="15.75" customHeight="1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spans="1:26" ht="15.75" customHeight="1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spans="1:26" ht="15.75" customHeight="1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spans="1:26" ht="15.75" customHeight="1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spans="1:26" ht="15.75" customHeight="1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spans="1:26" ht="15.75" customHeight="1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spans="1:26" ht="15.75" customHeight="1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spans="1:26" ht="15.75" customHeight="1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spans="1:26" ht="15.75" customHeight="1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spans="1:26" ht="15.75" customHeight="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spans="1:26" ht="15.75" customHeight="1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spans="1:26" ht="15.75" customHeight="1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spans="1:26" ht="15.75" customHeight="1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spans="1:26" ht="15.75" customHeight="1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spans="1:26" ht="15.75" customHeight="1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spans="1:26" ht="15.75" customHeight="1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spans="1:26" ht="15.75" customHeight="1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spans="1:26" ht="15.75" customHeight="1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spans="1:26" ht="15.75" customHeight="1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spans="1:26" ht="15.75" customHeight="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spans="1:26" ht="15.75" customHeight="1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spans="1:26" ht="15.75" customHeight="1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spans="1:26" ht="15.75" customHeight="1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spans="1:26" ht="15.75" customHeight="1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spans="1:26" ht="15.75" customHeight="1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spans="1:26" ht="15.75" customHeight="1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spans="1:26" ht="15.75" customHeight="1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spans="1:26" ht="15.75" customHeight="1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spans="1:26" ht="15.75" customHeight="1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spans="1:26" ht="15.75" customHeight="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spans="1:26" ht="15.75" customHeight="1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spans="1:26" ht="15.75" customHeight="1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spans="1:26" ht="15.75" customHeight="1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spans="1:26" ht="15.75" customHeight="1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spans="1:26" ht="15.75" customHeight="1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spans="1:26" ht="15.75" customHeight="1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spans="1:26" ht="15.75" customHeight="1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spans="1:26" ht="15.75" customHeight="1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spans="1:26" ht="15.75" customHeight="1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spans="1:26" ht="15.75" customHeight="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spans="1:26" ht="15.75" customHeight="1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spans="1:26" ht="15.75" customHeight="1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spans="1:26" ht="15.75" customHeight="1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spans="1:26" ht="15.75" customHeight="1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spans="1:26" ht="15.75" customHeight="1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spans="1:26" ht="15.75" customHeight="1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spans="1:26" ht="15.75" customHeight="1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spans="1:26" ht="15.75" customHeight="1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spans="1:26" ht="15.75" customHeight="1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spans="1:26" ht="15.75" customHeight="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spans="1:26" ht="15.75" customHeight="1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spans="1:26" ht="15.75" customHeight="1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spans="1:26" ht="15.75" customHeight="1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spans="1:26" ht="15.75" customHeight="1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spans="1:26" ht="15.75" customHeight="1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spans="1:26" ht="15.75" customHeight="1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spans="1:26" ht="15.75" customHeight="1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spans="1:26" ht="15.75" customHeight="1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spans="1:26" ht="15.75" customHeight="1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spans="1:26" ht="15.75" customHeight="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spans="1:26" ht="15.75" customHeight="1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spans="1:26" ht="15.75" customHeight="1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spans="1:26" ht="15.75" customHeight="1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spans="1:26" ht="15.75" customHeight="1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spans="1:26" ht="15.75" customHeight="1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spans="1:26" ht="15.75" customHeight="1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spans="1:26" ht="15.75" customHeight="1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spans="1:26" ht="15.75" customHeight="1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spans="1:26" ht="15.75" customHeight="1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spans="1:26" ht="15.75" customHeight="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spans="1:26" ht="15.75" customHeight="1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spans="1:26" ht="15.75" customHeight="1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spans="1:26" ht="15.75" customHeight="1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spans="1:26" ht="15.75" customHeight="1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spans="1:26" ht="15.75" customHeight="1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spans="1:26" ht="15.75" customHeight="1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spans="1:26" ht="15.75" customHeight="1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spans="1:26" ht="15.75" customHeight="1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spans="1:26" ht="15.75" customHeight="1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spans="1:26" ht="15.75" customHeight="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spans="1:26" ht="15.75" customHeight="1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spans="1:26" ht="15.75" customHeight="1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spans="1:26" ht="15.75" customHeight="1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spans="1:26" ht="15.75" customHeight="1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spans="1:26" ht="15.75" customHeight="1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spans="1:26" ht="15.75" customHeight="1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spans="1:26" ht="15.75" customHeight="1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spans="1:26" ht="15.75" customHeight="1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spans="1:26" ht="15.75" customHeight="1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spans="1:26" ht="15.75" customHeight="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spans="1:26" ht="15.75" customHeight="1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spans="1:26" ht="15.75" customHeight="1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spans="1:26" ht="15.75" customHeight="1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spans="1:26" ht="15.75" customHeight="1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spans="1:26" ht="15.75" customHeight="1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spans="1:26" ht="15.75" customHeight="1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spans="1:26" ht="15.75" customHeight="1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spans="1:26" ht="15.75" customHeight="1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spans="1:26" ht="15.75" customHeight="1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spans="1:26" ht="15.75" customHeight="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spans="1:26" ht="15.75" customHeight="1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spans="1:26" ht="15.75" customHeight="1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spans="1:26" ht="15.75" customHeight="1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spans="1:26" ht="15.75" customHeight="1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spans="1:26" ht="15.75" customHeight="1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spans="1:26" ht="15.75" customHeight="1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spans="1:26" ht="15.75" customHeight="1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spans="1:26" ht="15.75" customHeight="1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spans="1:26" ht="15.75" customHeight="1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spans="1:26" ht="15.75" customHeight="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spans="1:26" ht="15.75" customHeight="1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spans="1:26" ht="15.75" customHeight="1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spans="1:26" ht="15.75" customHeight="1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spans="1:26" ht="15.75" customHeight="1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spans="1:26" ht="15.75" customHeight="1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spans="1:26" ht="15.75" customHeight="1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spans="1:26" ht="15.75" customHeight="1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spans="1:26" ht="15.75" customHeight="1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spans="1:26" ht="15.75" customHeight="1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spans="1:26" ht="15.75" customHeight="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spans="1:26" ht="15.75" customHeight="1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spans="1:26" ht="15.75" customHeight="1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spans="1:26" ht="15.75" customHeight="1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spans="1:26" ht="15.75" customHeight="1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spans="1:26" ht="15.75" customHeight="1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spans="1:26" ht="15.75" customHeight="1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spans="1:26" ht="15.75" customHeight="1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spans="1:26" ht="15.75" customHeight="1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spans="1:26" ht="15.75" customHeight="1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spans="1:26" ht="15.75" customHeight="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spans="1:26" ht="15.75" customHeight="1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spans="1:26" ht="15.75" customHeight="1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spans="1:26" ht="15.75" customHeight="1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spans="1:26" ht="15.75" customHeight="1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spans="1:26" ht="15.75" customHeight="1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spans="1:26" ht="15.75" customHeight="1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spans="1:26" ht="15.75" customHeight="1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spans="1:26" ht="15.75" customHeight="1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spans="1:26" ht="15.75" customHeight="1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spans="1:26" ht="15.75" customHeight="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spans="1:26" ht="15.75" customHeight="1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spans="1:26" ht="15.75" customHeight="1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spans="1:26" ht="15.75" customHeight="1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spans="1:26" ht="15.75" customHeight="1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spans="1:26" ht="15.75" customHeight="1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spans="1:26" ht="15.75" customHeight="1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spans="1:26" ht="15.75" customHeight="1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spans="1:26" ht="15.75" customHeight="1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spans="1:26" ht="15.75" customHeight="1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spans="1:26" ht="15.75" customHeight="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spans="1:26" ht="15.75" customHeight="1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spans="1:26" ht="15.75" customHeight="1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spans="1:26" ht="15.75" customHeight="1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spans="1:26" ht="15.75" customHeight="1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spans="1:26" ht="15.75" customHeight="1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spans="1:26" ht="15.75" customHeight="1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spans="1:26" ht="15.75" customHeight="1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spans="1:26" ht="15.75" customHeight="1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spans="1:26" ht="15.75" customHeight="1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spans="1:26" ht="15.75" customHeight="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spans="1:26" ht="15.75" customHeight="1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spans="1:26" ht="15.75" customHeight="1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spans="1:26" ht="15.75" customHeight="1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spans="1:26" ht="15.75" customHeight="1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spans="1:26" ht="15.75" customHeight="1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spans="1:26" ht="15.75" customHeight="1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spans="1:26" ht="15.75" customHeight="1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spans="1:26" ht="15.75" customHeight="1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spans="1:26" ht="15.75" customHeight="1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spans="1:26" ht="15.75" customHeight="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spans="1:26" ht="15.75" customHeight="1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spans="1:26" ht="15.75" customHeight="1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spans="1:26" ht="15.75" customHeight="1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spans="1:26" ht="15.75" customHeight="1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spans="1:26" ht="15.75" customHeight="1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spans="1:26" ht="15.75" customHeight="1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spans="1:26" ht="15.75" customHeight="1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spans="1:26" ht="15.75" customHeight="1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spans="1:26" ht="15.75" customHeight="1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spans="1:26" ht="15.75" customHeight="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spans="1:26" ht="15.75" customHeight="1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spans="1:26" ht="15.75" customHeight="1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spans="1:26" ht="15.75" customHeight="1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spans="1:26" ht="15.75" customHeight="1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spans="1:26" ht="15.75" customHeight="1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spans="1:26" ht="15.75" customHeight="1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spans="1:26" ht="15.75" customHeight="1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spans="1:26" ht="15.75" customHeight="1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spans="1:26" ht="15.75" customHeight="1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spans="1:26" ht="15.75" customHeight="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spans="1:26" ht="15.75" customHeight="1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spans="1:26" ht="15.75" customHeight="1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spans="1:26" ht="15.75" customHeight="1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spans="1:26" ht="15.75" customHeight="1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spans="1:26" ht="15.75" customHeight="1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spans="1:26" ht="15.75" customHeight="1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spans="1:26" ht="15.75" customHeight="1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spans="1:26" ht="15.75" customHeight="1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spans="1:26" ht="15.75" customHeight="1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spans="1:26" ht="15.75" customHeight="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spans="1:26" ht="15.75" customHeight="1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spans="1:26" ht="15.75" customHeight="1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spans="1:26" ht="15.75" customHeight="1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spans="1:26" ht="15.75" customHeight="1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spans="1:26" ht="15.75" customHeight="1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spans="1:26" ht="15.75" customHeight="1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spans="1:26" ht="15.75" customHeight="1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spans="1:26" ht="15.75" customHeight="1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spans="1:26" ht="15.75" customHeight="1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spans="1:26" ht="15.75" customHeight="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spans="1:26" ht="15.75" customHeight="1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spans="1:26" ht="15.75" customHeight="1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spans="1:26" ht="15.75" customHeight="1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spans="1:26" ht="15.75" customHeight="1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spans="1:26" ht="15.75" customHeight="1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spans="1:26" ht="15.75" customHeight="1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spans="1:26" ht="15.75" customHeight="1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spans="1:26" ht="15.75" customHeight="1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spans="1:26" ht="15.75" customHeight="1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spans="1:26" ht="15.75" customHeight="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spans="1:26" ht="15.75" customHeight="1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spans="1:26" ht="15.75" customHeight="1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spans="1:26" ht="15.75" customHeight="1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spans="1:26" ht="15.75" customHeight="1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spans="1:26" ht="15.75" customHeight="1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spans="1:26" ht="15.75" customHeight="1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spans="1:26" ht="15.75" customHeight="1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spans="1:26" ht="15.75" customHeight="1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spans="1:26" ht="15.75" customHeight="1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spans="1:26" ht="15.75" customHeight="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spans="1:26" ht="15.75" customHeight="1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spans="1:26" ht="15.75" customHeight="1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spans="1:26" ht="15.75" customHeight="1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spans="1:26" ht="15.75" customHeight="1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spans="1:26" ht="15.75" customHeight="1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spans="1:26" ht="15.75" customHeight="1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spans="1:26" ht="15.75" customHeight="1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spans="1:26" ht="15.75" customHeight="1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spans="1:26" ht="15.75" customHeight="1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spans="1:26" ht="15.75" customHeight="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spans="1:26" ht="15.75" customHeight="1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spans="1:26" ht="15.75" customHeight="1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spans="1:26" ht="15.75" customHeight="1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spans="1:26" ht="15.75" customHeight="1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spans="1:26" ht="15.75" customHeight="1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spans="1:26" ht="15.75" customHeight="1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spans="1:26" ht="15.75" customHeight="1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spans="1:26" ht="15.75" customHeight="1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spans="1:26" ht="15.75" customHeight="1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spans="1:26" ht="15.75" customHeight="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spans="1:26" ht="15.75" customHeight="1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spans="1:26" ht="15.75" customHeight="1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spans="1:26" ht="15.75" customHeight="1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spans="1:26" ht="15.75" customHeight="1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spans="1:26" ht="15.75" customHeight="1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spans="1:26" ht="15.75" customHeight="1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spans="1:26" ht="15.75" customHeight="1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spans="1:26" ht="15.75" customHeight="1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spans="1:26" ht="15.75" customHeight="1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spans="1:26" ht="15.75" customHeight="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spans="1:26" ht="15.75" customHeight="1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spans="1:26" ht="15.75" customHeight="1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spans="1:26" ht="15.75" customHeight="1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spans="1:26" ht="15.75" customHeight="1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spans="1:26" ht="15.75" customHeight="1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spans="1:26" ht="15.75" customHeight="1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spans="1:26" ht="15.75" customHeight="1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spans="1:26" ht="15.75" customHeight="1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spans="1:26" ht="15.75" customHeight="1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spans="1:26" ht="15.75" customHeight="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spans="1:26" ht="15.75" customHeight="1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spans="1:26" ht="15.75" customHeight="1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spans="1:26" ht="15.75" customHeight="1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spans="1:26" ht="15.75" customHeight="1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spans="1:26" ht="15.75" customHeight="1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spans="1:26" ht="15.75" customHeight="1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spans="1:26" ht="15.75" customHeight="1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spans="1:26" ht="15.75" customHeight="1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spans="1:26" ht="15.75" customHeight="1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spans="1:26" ht="15.75" customHeight="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spans="1:26" ht="15.75" customHeight="1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spans="1:26" ht="15.75" customHeight="1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spans="1:26" ht="15.75" customHeight="1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spans="1:26" ht="15.75" customHeight="1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spans="1:26" ht="15.75" customHeight="1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spans="1:26" ht="15.75" customHeight="1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spans="1:26" ht="15.75" customHeight="1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spans="1:26" ht="15.75" customHeight="1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spans="1:26" ht="15.75" customHeight="1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spans="1:26" ht="15.75" customHeight="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spans="1:26" ht="15.75" customHeight="1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spans="1:26" ht="15.75" customHeight="1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spans="1:26" ht="15.75" customHeight="1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spans="1:26" ht="15.75" customHeight="1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spans="1:26" ht="15.75" customHeight="1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spans="1:26" ht="15.75" customHeight="1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spans="1:26" ht="15.75" customHeight="1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spans="1:26" ht="15.75" customHeight="1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spans="1:26" ht="15.75" customHeight="1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spans="1:26" ht="15.75" customHeight="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spans="1:26" ht="15.75" customHeight="1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spans="1:26" ht="15.75" customHeight="1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spans="1:26" ht="15.75" customHeight="1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spans="1:26" ht="15.75" customHeight="1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spans="1:26" ht="15.75" customHeight="1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spans="1:26" ht="15.75" customHeight="1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spans="1:26" ht="15.75" customHeight="1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spans="1:26" ht="15.75" customHeight="1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spans="1:26" ht="15.75" customHeight="1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spans="1:26" ht="15.75" customHeight="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spans="1:26" ht="15.75" customHeight="1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spans="1:26" ht="15.75" customHeight="1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spans="1:26" ht="15.75" customHeight="1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spans="1:26" ht="15.75" customHeight="1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spans="1:26" ht="15.75" customHeight="1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spans="1:26" ht="15.75" customHeight="1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spans="1:26" ht="15.75" customHeight="1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spans="1:26" ht="15.75" customHeight="1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spans="1:26" ht="15.75" customHeight="1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spans="1:26" ht="15.75" customHeight="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spans="1:26" ht="15.75" customHeight="1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spans="1:26" ht="15.75" customHeight="1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spans="1:26" ht="15.75" customHeight="1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spans="1:26" ht="15.75" customHeight="1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spans="1:26" ht="15.75" customHeight="1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spans="1:26" ht="15.75" customHeight="1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spans="1:26" ht="15.75" customHeight="1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spans="1:26" ht="15.75" customHeight="1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spans="1:26" ht="15.75" customHeight="1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spans="1:26" ht="15.75" customHeight="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spans="1:26" ht="15.75" customHeight="1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spans="1:26" ht="15.75" customHeight="1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spans="1:26" ht="15.75" customHeight="1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spans="1:26" ht="15.75" customHeight="1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spans="1:26" ht="15.75" customHeight="1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spans="1:26" ht="15.75" customHeight="1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spans="1:26" ht="15.75" customHeight="1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spans="1:26" ht="15.75" customHeight="1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spans="1:26" ht="15.75" customHeight="1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spans="1:26" ht="15.75" customHeight="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spans="1:26" ht="15.75" customHeight="1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spans="1:26" ht="15.75" customHeight="1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spans="1:26" ht="15.75" customHeight="1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spans="1:26" ht="15.75" customHeight="1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spans="1:26" ht="15.75" customHeight="1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spans="1:26" ht="15.75" customHeight="1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spans="1:26" ht="15.75" customHeight="1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spans="1:26" ht="15.75" customHeight="1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spans="1:26" ht="15.75" customHeight="1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spans="1:26" ht="15.75" customHeight="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spans="1:26" ht="15.75" customHeight="1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spans="1:26" ht="15.75" customHeight="1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spans="1:26" ht="15.75" customHeight="1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spans="1:26" ht="15.75" customHeight="1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spans="1:26" ht="15.75" customHeight="1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spans="1:26" ht="15.75" customHeight="1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spans="1:26" ht="15.75" customHeight="1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spans="1:26" ht="15.75" customHeight="1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spans="1:26" ht="15.75" customHeight="1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spans="1:26" ht="15.75" customHeight="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spans="1:26" ht="15.75" customHeight="1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spans="1:26" ht="15.75" customHeight="1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spans="1:26" ht="15.75" customHeight="1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spans="1:26" ht="15.75" customHeight="1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spans="1:26" ht="15.75" customHeight="1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spans="1:26" ht="15.75" customHeight="1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spans="1:26" ht="15.75" customHeight="1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spans="1:26" ht="15.75" customHeight="1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spans="1:26" ht="15.75" customHeight="1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spans="1:26" ht="15.75" customHeight="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spans="1:26" ht="15.75" customHeight="1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spans="1:26" ht="15.75" customHeight="1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spans="1:26" ht="15.75" customHeight="1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spans="1:26" ht="15.75" customHeight="1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spans="1:26" ht="15.75" customHeight="1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spans="1:26" ht="15.75" customHeight="1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spans="1:26" ht="15.75" customHeight="1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spans="1:26" ht="15.75" customHeight="1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spans="1:26" ht="15.75" customHeight="1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spans="1:26" ht="15.75" customHeight="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spans="1:26" ht="15.75" customHeight="1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spans="1:26" ht="15.75" customHeight="1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spans="1:26" ht="15.75" customHeight="1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spans="1:26" ht="15.75" customHeight="1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spans="1:26" ht="15.75" customHeight="1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spans="1:26" ht="15.75" customHeight="1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spans="1:26" ht="15.75" customHeight="1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spans="1:26" ht="15.75" customHeight="1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spans="1:26" ht="15.75" customHeight="1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spans="1:26" ht="15.75" customHeight="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spans="1:26" ht="15.75" customHeight="1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spans="1:26" ht="15.75" customHeight="1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spans="1:26" ht="15.75" customHeight="1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spans="1:26" ht="15.75" customHeight="1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spans="1:26" ht="15.75" customHeight="1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spans="1:26" ht="15.75" customHeight="1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spans="1:26" ht="15.75" customHeight="1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spans="1:26" ht="15.75" customHeight="1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spans="1:26" ht="15.75" customHeight="1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spans="1:26" ht="15.75" customHeight="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spans="1:26" ht="15.75" customHeight="1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spans="1:26" ht="15.75" customHeight="1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spans="1:26" ht="15.75" customHeight="1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spans="1:26" ht="15.75" customHeight="1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spans="1:26" ht="15.75" customHeight="1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spans="1:26" ht="15.75" customHeight="1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spans="1:26" ht="15.75" customHeight="1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spans="1:26" ht="15.75" customHeight="1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spans="1:26" ht="15.75" customHeight="1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spans="1:26" ht="15.75" customHeight="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spans="1:26" ht="15.75" customHeight="1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spans="1:26" ht="15.75" customHeight="1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spans="1:26" ht="15.75" customHeight="1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spans="1:26" ht="15.75" customHeight="1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spans="1:26" ht="15.75" customHeight="1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spans="1:26" ht="15.75" customHeight="1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spans="1:26" ht="15.75" customHeight="1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spans="1:26" ht="15.75" customHeight="1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spans="1:26" ht="15.75" customHeight="1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spans="1:26" ht="15.75" customHeight="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spans="1:26" ht="15.75" customHeight="1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spans="1:26" ht="15.75" customHeight="1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spans="1:26" ht="15.75" customHeight="1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spans="1:26" ht="15.75" customHeight="1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spans="1:26" ht="15.75" customHeight="1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spans="1:26" ht="15.75" customHeight="1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spans="1:26" ht="15.75" customHeight="1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spans="1:26" ht="15.75" customHeight="1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spans="1:26" ht="15.75" customHeight="1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spans="1:26" ht="15.75" customHeight="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spans="1:26" ht="15.75" customHeight="1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spans="1:26" ht="15.75" customHeight="1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spans="1:26" ht="15.75" customHeight="1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spans="1:26" ht="15.75" customHeight="1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spans="1:26" ht="15.75" customHeight="1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spans="1:26" ht="15.75" customHeight="1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spans="1:26" ht="15.75" customHeight="1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spans="1:26" ht="15.75" customHeight="1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spans="1:26" ht="15.75" customHeight="1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spans="1:26" ht="15.75" customHeight="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spans="1:26" ht="15.75" customHeight="1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spans="1:26" ht="15.75" customHeight="1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spans="1:26" ht="15.75" customHeight="1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spans="1:26" ht="15.75" customHeight="1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spans="1:26" ht="15.75" customHeight="1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spans="1:26" ht="15.75" customHeight="1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spans="1:26" ht="15.75" customHeight="1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spans="1:26" ht="15.75" customHeight="1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spans="1:26" ht="15.75" customHeight="1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spans="1:26" ht="15.75" customHeight="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spans="1:26" ht="15.75" customHeight="1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spans="1:26" ht="15.75" customHeight="1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spans="1:26" ht="15.75" customHeight="1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spans="1:26" ht="15.75" customHeight="1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spans="1:26" ht="15.75" customHeight="1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spans="1:26" ht="15.75" customHeight="1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spans="1:26" ht="15.75" customHeight="1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spans="1:26" ht="15.75" customHeight="1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spans="1:26" ht="15.75" customHeight="1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spans="1:26" ht="15.75" customHeight="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spans="1:26" ht="15.75" customHeight="1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spans="1:26" ht="15.75" customHeight="1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spans="1:26" ht="15.75" customHeight="1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spans="1:26" ht="15.75" customHeight="1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spans="1:26" ht="15.75" customHeight="1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spans="1:26" ht="15.75" customHeight="1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spans="1:26" ht="15.75" customHeight="1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spans="1:26" ht="15.75" customHeight="1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spans="1:26" ht="15.75" customHeight="1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spans="1:26" ht="15.75" customHeight="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spans="1:26" ht="15.75" customHeight="1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spans="1:26" ht="15.75" customHeight="1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spans="1:26" ht="15.75" customHeight="1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spans="1:26" ht="15.75" customHeight="1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spans="1:26" ht="15.75" customHeight="1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spans="1:26" ht="15.75" customHeight="1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spans="1:26" ht="15.75" customHeight="1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spans="1:26" ht="15.75" customHeight="1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spans="1:26" ht="15.75" customHeight="1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spans="1:26" ht="15.75" customHeight="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spans="1:26" ht="15.75" customHeight="1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spans="1:26" ht="15.75" customHeight="1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spans="1:26" ht="15.75" customHeight="1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spans="1:26" ht="15.75" customHeight="1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spans="1:26" ht="15.75" customHeight="1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spans="1:26" ht="15.75" customHeight="1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spans="1:26" ht="15.75" customHeight="1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spans="1:26" ht="15.75" customHeight="1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spans="1:26" ht="15.75" customHeight="1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spans="1:26" ht="15.75" customHeight="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spans="1:26" ht="15.75" customHeight="1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spans="1:26" ht="15.75" customHeight="1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spans="1:26" ht="15.75" customHeight="1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spans="1:26" ht="15.75" customHeight="1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spans="1:26" ht="15.75" customHeight="1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spans="1:26" ht="15.75" customHeight="1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spans="1:26" ht="15.75" customHeight="1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spans="1:26" ht="15.75" customHeight="1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spans="1:26" ht="15.75" customHeight="1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spans="1:26" ht="15.75" customHeight="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spans="1:26" ht="15.75" customHeight="1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spans="1:26" ht="15.75" customHeight="1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spans="1:26" ht="15.75" customHeight="1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 spans="1:26" ht="15.75" customHeight="1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 spans="1:26" ht="15.75" customHeight="1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 spans="1:26" ht="15.75" customHeight="1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 spans="1:26" ht="15.75" customHeight="1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 spans="1:26" ht="15.75" customHeight="1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 spans="1:26" ht="15.75" customHeight="1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 spans="1:26" ht="15.75" customHeight="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 spans="1:26" ht="15.75" customHeight="1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 spans="1:26" ht="15.75" customHeight="1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 spans="1:26" ht="15.75" customHeight="1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 spans="1:26" ht="15.75" customHeight="1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 spans="1:26" ht="15.75" customHeight="1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 spans="1:26" ht="15" customHeight="1">
      <c r="A997" s="136"/>
      <c r="B997" s="136"/>
      <c r="C997" s="136"/>
      <c r="D997" s="136"/>
      <c r="E997" s="136"/>
      <c r="F997" s="136"/>
      <c r="G997" s="136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 spans="1:26" ht="15" customHeight="1">
      <c r="A998" s="136"/>
      <c r="B998" s="136"/>
      <c r="C998" s="136"/>
      <c r="D998" s="136"/>
      <c r="E998" s="136"/>
      <c r="F998" s="136"/>
      <c r="G998" s="136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 spans="1:26" ht="15" customHeight="1">
      <c r="A999" s="136"/>
      <c r="B999" s="136"/>
      <c r="C999" s="136"/>
      <c r="D999" s="136"/>
      <c r="E999" s="136"/>
      <c r="F999" s="136"/>
      <c r="G999" s="136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 spans="1:26" ht="15" customHeight="1">
      <c r="A1000" s="136"/>
      <c r="B1000" s="136"/>
      <c r="C1000" s="136"/>
      <c r="D1000" s="136"/>
      <c r="E1000" s="136"/>
      <c r="F1000" s="136"/>
      <c r="G1000" s="136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</sheetData>
  <mergeCells count="5">
    <mergeCell ref="E2:G2"/>
    <mergeCell ref="C5:E5"/>
    <mergeCell ref="C4:E4"/>
    <mergeCell ref="B6:B7"/>
    <mergeCell ref="B2:D2"/>
  </mergeCells>
  <pageMargins left="0.25" right="0.25" top="0.5" bottom="0.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84"/>
  <sheetViews>
    <sheetView showGridLines="0" workbookViewId="0">
      <selection activeCell="I21" sqref="I21"/>
    </sheetView>
  </sheetViews>
  <sheetFormatPr defaultColWidth="14.42578125" defaultRowHeight="15" customHeight="1"/>
  <cols>
    <col min="1" max="1" width="9" style="53" customWidth="1"/>
    <col min="2" max="2" width="15.140625" style="53" customWidth="1"/>
    <col min="3" max="3" width="33" style="53" customWidth="1"/>
    <col min="4" max="6" width="11.5703125" style="53" customWidth="1"/>
    <col min="7" max="7" width="9" style="53" customWidth="1"/>
    <col min="8" max="8" width="35.42578125" style="53" customWidth="1"/>
    <col min="9" max="9" width="33.42578125" style="53" customWidth="1"/>
    <col min="10" max="26" width="9" style="53" customWidth="1"/>
  </cols>
  <sheetData>
    <row r="1" spans="1:26" ht="25.5" customHeight="1">
      <c r="A1" s="21"/>
      <c r="B1" s="88" t="s">
        <v>24</v>
      </c>
      <c r="C1" s="125"/>
      <c r="D1" s="125"/>
      <c r="E1" s="125"/>
      <c r="F1" s="125"/>
      <c r="G1" s="125"/>
      <c r="H1" s="125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4.25" customHeight="1">
      <c r="A2" s="23"/>
      <c r="B2" s="23"/>
      <c r="C2" s="21"/>
      <c r="D2" s="21"/>
      <c r="E2" s="21"/>
      <c r="F2" s="21"/>
      <c r="G2" s="21"/>
      <c r="H2" s="24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" customHeight="1">
      <c r="A3" s="21"/>
      <c r="B3" s="56" t="s">
        <v>1</v>
      </c>
      <c r="C3" s="84" t="s">
        <v>2</v>
      </c>
      <c r="D3" s="127"/>
      <c r="E3" s="85" t="s">
        <v>3</v>
      </c>
      <c r="F3" s="127"/>
      <c r="G3" s="7"/>
      <c r="H3" s="65" t="s">
        <v>4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" customHeight="1">
      <c r="A4" s="21"/>
      <c r="B4" s="56" t="s">
        <v>5</v>
      </c>
      <c r="C4" s="84"/>
      <c r="D4" s="127"/>
      <c r="E4" s="85" t="s">
        <v>7</v>
      </c>
      <c r="F4" s="127"/>
      <c r="G4" s="7"/>
      <c r="H4" s="65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8.75" customHeight="1">
      <c r="A5" s="21"/>
      <c r="B5" s="66" t="s">
        <v>9</v>
      </c>
      <c r="C5" s="84" t="str">
        <f>C4&amp;"_"&amp;"Database Docker Test"&amp;"_"&amp;"v1.0"</f>
        <v>_Database Docker Test_v1.0</v>
      </c>
      <c r="D5" s="127"/>
      <c r="E5" s="89">
        <v>46307</v>
      </c>
      <c r="F5" s="127"/>
      <c r="G5" s="7"/>
      <c r="H5" s="2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21.75" customHeight="1">
      <c r="A6" s="23"/>
      <c r="B6" s="66" t="s">
        <v>25</v>
      </c>
      <c r="C6" s="87" t="s">
        <v>26</v>
      </c>
      <c r="D6" s="126"/>
      <c r="E6" s="126"/>
      <c r="F6" s="126"/>
      <c r="G6" s="126"/>
      <c r="H6" s="127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4.25" customHeight="1">
      <c r="A7" s="23"/>
      <c r="B7" s="22"/>
      <c r="C7" s="25"/>
      <c r="D7" s="21"/>
      <c r="E7" s="21"/>
      <c r="F7" s="21"/>
      <c r="G7" s="21"/>
      <c r="H7" s="24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2.75" customHeight="1">
      <c r="A8" s="21"/>
      <c r="B8" s="22"/>
      <c r="C8" s="25"/>
      <c r="D8" s="21"/>
      <c r="E8" s="21"/>
      <c r="F8" s="21"/>
      <c r="G8" s="21"/>
      <c r="H8" s="24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2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.75" customHeight="1">
      <c r="A10" s="21"/>
      <c r="B10" s="104" t="s">
        <v>27</v>
      </c>
      <c r="C10" s="105" t="s">
        <v>28</v>
      </c>
      <c r="D10" s="105" t="s">
        <v>29</v>
      </c>
      <c r="E10" s="105" t="s">
        <v>30</v>
      </c>
      <c r="F10" s="105" t="s">
        <v>31</v>
      </c>
      <c r="G10" s="105" t="s">
        <v>6</v>
      </c>
      <c r="H10" s="105" t="s">
        <v>32</v>
      </c>
      <c r="I10" s="106" t="s">
        <v>33</v>
      </c>
      <c r="J10" s="21"/>
      <c r="K10" s="26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2.75" customHeight="1">
      <c r="A11" s="21"/>
      <c r="B11" s="67">
        <v>1</v>
      </c>
      <c r="C11" s="68" t="s">
        <v>34</v>
      </c>
      <c r="D11" s="69">
        <f>Database_Docker!C6</f>
        <v>6</v>
      </c>
      <c r="E11" s="70">
        <f>Database_Docker!D6</f>
        <v>0</v>
      </c>
      <c r="F11" s="70">
        <f>Database_Docker!E6</f>
        <v>0</v>
      </c>
      <c r="G11" s="70">
        <f>Database_Docker!F6</f>
        <v>2</v>
      </c>
      <c r="H11" s="70">
        <f>Database_Docker!G6</f>
        <v>8</v>
      </c>
      <c r="I11" s="71">
        <f>Database_Docker!B6</f>
        <v>1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2.75" customHeight="1">
      <c r="A12" s="21"/>
      <c r="B12" s="26"/>
      <c r="C12" s="68" t="s">
        <v>35</v>
      </c>
      <c r="D12" s="70">
        <f>SUM(D11:D11)</f>
        <v>6</v>
      </c>
      <c r="E12" s="70">
        <f>SUM(E11:E11)</f>
        <v>0</v>
      </c>
      <c r="F12" s="70">
        <f>SUM(F11:F11)</f>
        <v>0</v>
      </c>
      <c r="G12" s="70">
        <f>SUM(G11:G11)</f>
        <v>2</v>
      </c>
      <c r="H12" s="70">
        <f>SUM(H11:H11)</f>
        <v>8</v>
      </c>
      <c r="I12" s="72">
        <f>IFERROR(D12/(H12-G12),0)</f>
        <v>1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2.75" customHeight="1">
      <c r="A13" s="21"/>
      <c r="B13" s="107"/>
      <c r="C13" s="108"/>
      <c r="D13" s="109"/>
      <c r="E13" s="110"/>
      <c r="F13" s="110"/>
      <c r="G13" s="110"/>
      <c r="H13" s="110"/>
      <c r="I13" s="108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2.75" customHeight="1">
      <c r="A14" s="21"/>
      <c r="B14" s="21"/>
      <c r="C14" s="73" t="s">
        <v>36</v>
      </c>
      <c r="D14" s="21"/>
      <c r="E14" s="74">
        <v>1</v>
      </c>
      <c r="F14" s="75"/>
      <c r="G14" s="21"/>
      <c r="H14" s="8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2.75" customHeight="1">
      <c r="A15" s="21"/>
      <c r="B15" s="21"/>
      <c r="C15" s="73" t="s">
        <v>37</v>
      </c>
      <c r="D15" s="21"/>
      <c r="E15" s="74">
        <f>IFERROR(D11/(D11+E11),0)</f>
        <v>1</v>
      </c>
      <c r="F15" s="75"/>
      <c r="G15" s="21"/>
      <c r="H15" s="28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2.75" customHeight="1">
      <c r="A16" s="21"/>
      <c r="B16" s="21"/>
      <c r="C16" s="73" t="s">
        <v>38</v>
      </c>
      <c r="D16" s="21"/>
      <c r="E16" s="74">
        <f>IFERROR(D12/(D12+E12),0)</f>
        <v>1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2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2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2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2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2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2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2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2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2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2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2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2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2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2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2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2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2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2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2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2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2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2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2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2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2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2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2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2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2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2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2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2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2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2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2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2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2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2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2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2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2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2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2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2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2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2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2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2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2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2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2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2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2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2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2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2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2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2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2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2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2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2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2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2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2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2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2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2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2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2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2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2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2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2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2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2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2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2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2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2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2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2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2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2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2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2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2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2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2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2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2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2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2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2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2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2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2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2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2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2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2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2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2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2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2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2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2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2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2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2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2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2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2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2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2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2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2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2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2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2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2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2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2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2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2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2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2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2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2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2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2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2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2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2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2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2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2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2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2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2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2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2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2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2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2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2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2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2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2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2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2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2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2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2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2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2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2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2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2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2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2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2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2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2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2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2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2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2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2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2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2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2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2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2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2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2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2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2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2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2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2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2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2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2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2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2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2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2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2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2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2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2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2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2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2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2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2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 spans="1:26" ht="15.75" customHeight="1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spans="1:26" ht="15.75" customHeight="1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spans="1:26" ht="15.75" customHeight="1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spans="1:26" ht="15.75" customHeight="1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spans="1:26" ht="15.75" customHeight="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spans="1:26" ht="15.75" customHeight="1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spans="1:26" ht="15.75" customHeight="1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spans="1:26" ht="15.75" customHeight="1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spans="1:26" ht="15.75" customHeight="1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spans="1:26" ht="15.75" customHeight="1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spans="1:26" ht="15.75" customHeight="1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spans="1:26" ht="15.75" customHeight="1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spans="1:26" ht="15.75" customHeight="1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spans="1:26" ht="15.75" customHeight="1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spans="1:26" ht="15.75" customHeight="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spans="1:26" ht="15.75" customHeight="1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spans="1:26" ht="15.75" customHeight="1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spans="1:26" ht="15.75" customHeight="1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spans="1:26" ht="15.75" customHeight="1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spans="1:26" ht="15.75" customHeight="1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spans="1:26" ht="15.75" customHeight="1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spans="1:26" ht="15.75" customHeight="1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spans="1:26" ht="15.75" customHeight="1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spans="1:26" ht="15.75" customHeight="1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spans="1:26" ht="15.75" customHeight="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spans="1:26" ht="15.75" customHeight="1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spans="1:26" ht="15.75" customHeight="1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spans="1:26" ht="15.75" customHeight="1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spans="1:26" ht="15.75" customHeight="1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spans="1:26" ht="15.75" customHeight="1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spans="1:26" ht="15.75" customHeight="1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spans="1:26" ht="15.75" customHeight="1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spans="1:26" ht="15.75" customHeight="1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spans="1:26" ht="15.75" customHeight="1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spans="1:26" ht="15.75" customHeight="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spans="1:26" ht="15.75" customHeight="1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spans="1:26" ht="15.75" customHeight="1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spans="1:26" ht="15.75" customHeight="1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spans="1:26" ht="15.75" customHeight="1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spans="1:26" ht="15.75" customHeight="1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spans="1:26" ht="15.75" customHeight="1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spans="1:26" ht="15.75" customHeight="1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spans="1:26" ht="15.75" customHeight="1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spans="1:26" ht="15.75" customHeight="1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spans="1:26" ht="15.75" customHeight="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spans="1:26" ht="15.75" customHeight="1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spans="1:26" ht="15.75" customHeight="1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spans="1:26" ht="15.75" customHeight="1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spans="1:26" ht="15.75" customHeight="1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spans="1:26" ht="15.75" customHeight="1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spans="1:26" ht="15.75" customHeight="1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spans="1:26" ht="15.75" customHeight="1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spans="1:26" ht="15.75" customHeight="1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spans="1:26" ht="15.75" customHeight="1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spans="1:26" ht="15.75" customHeight="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spans="1:26" ht="15.75" customHeight="1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spans="1:26" ht="15.75" customHeight="1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spans="1:26" ht="15.75" customHeight="1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spans="1:26" ht="15.75" customHeight="1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spans="1:26" ht="15.75" customHeight="1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spans="1:26" ht="15.75" customHeight="1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spans="1:26" ht="15.75" customHeight="1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spans="1:26" ht="15.75" customHeight="1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spans="1:26" ht="15.75" customHeight="1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spans="1:26" ht="15.75" customHeight="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spans="1:26" ht="15.75" customHeight="1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spans="1:26" ht="15.75" customHeight="1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spans="1:26" ht="15.75" customHeight="1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spans="1:26" ht="15.75" customHeight="1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spans="1:26" ht="15.75" customHeight="1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spans="1:26" ht="15.75" customHeight="1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spans="1:26" ht="15.75" customHeight="1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spans="1:26" ht="15.75" customHeight="1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spans="1:26" ht="15.75" customHeight="1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spans="1:26" ht="15.75" customHeight="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spans="1:26" ht="15.75" customHeight="1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spans="1:26" ht="15.75" customHeight="1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spans="1:26" ht="15.75" customHeight="1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spans="1:26" ht="15.75" customHeight="1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spans="1:26" ht="15.75" customHeight="1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spans="1:26" ht="15.75" customHeight="1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spans="1:26" ht="15.75" customHeight="1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spans="1:26" ht="15.75" customHeight="1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spans="1:26" ht="15.75" customHeight="1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spans="1:26" ht="15.75" customHeight="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spans="1:26" ht="15.75" customHeight="1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spans="1:26" ht="15.75" customHeight="1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spans="1:26" ht="15.75" customHeight="1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spans="1:26" ht="15.75" customHeight="1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spans="1:26" ht="15.75" customHeight="1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spans="1:26" ht="15.75" customHeight="1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spans="1:26" ht="15.75" customHeight="1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spans="1:26" ht="15.75" customHeight="1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spans="1:26" ht="15.75" customHeight="1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spans="1:26" ht="15.75" customHeight="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spans="1:26" ht="15.75" customHeight="1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spans="1:26" ht="15.75" customHeight="1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spans="1:26" ht="15.75" customHeight="1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spans="1:26" ht="15.75" customHeight="1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spans="1:26" ht="15.75" customHeight="1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spans="1:26" ht="15.75" customHeight="1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spans="1:26" ht="15.75" customHeight="1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spans="1:26" ht="15.75" customHeight="1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spans="1:26" ht="15.75" customHeight="1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spans="1:26" ht="15.75" customHeight="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spans="1:26" ht="15.75" customHeight="1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spans="1:26" ht="15.75" customHeight="1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spans="1:26" ht="15.75" customHeight="1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spans="1:26" ht="15.75" customHeight="1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spans="1:26" ht="15.75" customHeight="1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spans="1:26" ht="15.75" customHeight="1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spans="1:26" ht="15.75" customHeight="1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spans="1:26" ht="15.75" customHeight="1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spans="1:26" ht="15.75" customHeight="1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spans="1:26" ht="15.75" customHeight="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spans="1:26" ht="15.75" customHeight="1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spans="1:26" ht="15.75" customHeight="1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spans="1:26" ht="15.75" customHeight="1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spans="1:26" ht="15.75" customHeight="1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spans="1:26" ht="15.75" customHeight="1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spans="1:26" ht="15.75" customHeight="1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spans="1:26" ht="15.75" customHeight="1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spans="1:26" ht="15.75" customHeight="1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spans="1:26" ht="15.75" customHeight="1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spans="1:26" ht="15.75" customHeight="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spans="1:26" ht="15.75" customHeight="1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spans="1:26" ht="15.75" customHeight="1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spans="1:26" ht="15.75" customHeight="1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spans="1:26" ht="15.75" customHeight="1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spans="1:26" ht="15.75" customHeight="1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spans="1:26" ht="15.75" customHeight="1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spans="1:26" ht="15.75" customHeight="1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spans="1:26" ht="15.75" customHeight="1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spans="1:26" ht="15.75" customHeight="1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spans="1:26" ht="15.75" customHeight="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spans="1:26" ht="15.75" customHeight="1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spans="1:26" ht="15.75" customHeight="1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spans="1:26" ht="15.75" customHeight="1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spans="1:26" ht="15.75" customHeight="1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spans="1:26" ht="15.75" customHeight="1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spans="1:26" ht="15.75" customHeight="1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spans="1:26" ht="15.75" customHeight="1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spans="1:26" ht="15.75" customHeight="1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spans="1:26" ht="15.75" customHeight="1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spans="1:26" ht="15.75" customHeight="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spans="1:26" ht="15.75" customHeight="1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spans="1:26" ht="15.75" customHeight="1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spans="1:26" ht="15.75" customHeight="1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spans="1:26" ht="15.75" customHeight="1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spans="1:26" ht="15.75" customHeight="1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spans="1:26" ht="15.75" customHeight="1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spans="1:26" ht="15.75" customHeight="1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spans="1:26" ht="15.75" customHeight="1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spans="1:26" ht="15.75" customHeight="1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spans="1:26" ht="15.75" customHeight="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spans="1:26" ht="15.75" customHeight="1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spans="1:26" ht="15.75" customHeight="1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spans="1:26" ht="15.75" customHeight="1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spans="1:26" ht="15.75" customHeight="1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spans="1:26" ht="15.75" customHeight="1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spans="1:26" ht="15.75" customHeight="1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spans="1:26" ht="15.75" customHeight="1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spans="1:26" ht="15.75" customHeight="1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spans="1:26" ht="15.75" customHeight="1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spans="1:26" ht="15.75" customHeight="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spans="1:26" ht="15.75" customHeight="1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spans="1:26" ht="15.75" customHeight="1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spans="1:26" ht="15.75" customHeight="1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spans="1:26" ht="15.75" customHeight="1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spans="1:26" ht="15.75" customHeight="1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spans="1:26" ht="15.75" customHeight="1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spans="1:26" ht="15.75" customHeight="1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spans="1:26" ht="15.75" customHeight="1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spans="1:26" ht="15.75" customHeight="1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spans="1:26" ht="15.75" customHeight="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spans="1:26" ht="15.75" customHeight="1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spans="1:26" ht="15.75" customHeight="1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spans="1:26" ht="15.75" customHeight="1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spans="1:26" ht="15.75" customHeight="1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spans="1:26" ht="15.75" customHeight="1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spans="1:26" ht="15.75" customHeight="1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spans="1:26" ht="15.75" customHeight="1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spans="1:26" ht="15.75" customHeight="1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spans="1:26" ht="15.75" customHeight="1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spans="1:26" ht="15.75" customHeight="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spans="1:26" ht="15.75" customHeight="1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spans="1:26" ht="15.75" customHeight="1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spans="1:26" ht="15.75" customHeight="1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spans="1:26" ht="15.75" customHeight="1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spans="1:26" ht="15.75" customHeight="1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spans="1:26" ht="15.75" customHeight="1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spans="1:26" ht="15.75" customHeight="1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spans="1:26" ht="15.75" customHeight="1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spans="1:26" ht="15.75" customHeight="1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spans="1:26" ht="15.75" customHeight="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spans="1:26" ht="15.75" customHeight="1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spans="1:26" ht="15.75" customHeight="1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spans="1:26" ht="15.75" customHeight="1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spans="1:26" ht="15.75" customHeight="1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spans="1:26" ht="15.75" customHeight="1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spans="1:26" ht="15.75" customHeight="1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spans="1:26" ht="15.75" customHeight="1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spans="1:26" ht="15.75" customHeight="1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spans="1:26" ht="15.75" customHeight="1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spans="1:26" ht="15.75" customHeight="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spans="1:26" ht="15.75" customHeight="1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spans="1:26" ht="15.75" customHeight="1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spans="1:26" ht="15.75" customHeight="1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spans="1:26" ht="15.75" customHeight="1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spans="1:26" ht="15.75" customHeight="1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spans="1:26" ht="15.75" customHeight="1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spans="1:26" ht="15.75" customHeight="1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spans="1:26" ht="15.75" customHeight="1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spans="1:26" ht="15.75" customHeight="1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spans="1:26" ht="15.75" customHeight="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spans="1:26" ht="15.75" customHeight="1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spans="1:26" ht="15.75" customHeight="1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spans="1:26" ht="15.75" customHeight="1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spans="1:26" ht="15.75" customHeight="1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spans="1:26" ht="15.75" customHeight="1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spans="1:26" ht="15.75" customHeight="1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spans="1:26" ht="15.75" customHeight="1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spans="1:26" ht="15.75" customHeight="1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spans="1:26" ht="15.75" customHeight="1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spans="1:26" ht="15.75" customHeight="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spans="1:26" ht="15.75" customHeight="1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spans="1:26" ht="15.75" customHeight="1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spans="1:26" ht="15.75" customHeight="1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spans="1:26" ht="15.75" customHeight="1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spans="1:26" ht="15.75" customHeight="1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spans="1:26" ht="15.75" customHeight="1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spans="1:26" ht="15.75" customHeight="1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spans="1:26" ht="15.75" customHeight="1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spans="1:26" ht="15.75" customHeight="1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spans="1:26" ht="15.75" customHeight="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spans="1:26" ht="15.75" customHeight="1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spans="1:26" ht="15.75" customHeight="1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spans="1:26" ht="15.75" customHeight="1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spans="1:26" ht="15.75" customHeight="1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spans="1:26" ht="15.75" customHeight="1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spans="1:26" ht="15.75" customHeight="1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spans="1:26" ht="15.75" customHeight="1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spans="1:26" ht="15.75" customHeight="1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spans="1:26" ht="15.75" customHeight="1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spans="1:26" ht="15.75" customHeight="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spans="1:26" ht="15.75" customHeight="1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spans="1:26" ht="15.75" customHeight="1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spans="1:26" ht="15.75" customHeight="1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spans="1:26" ht="15.75" customHeight="1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spans="1:26" ht="15.75" customHeight="1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spans="1:26" ht="15.75" customHeight="1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spans="1:26" ht="15.75" customHeight="1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spans="1:26" ht="15.75" customHeight="1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spans="1:26" ht="15.75" customHeight="1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spans="1:26" ht="15.75" customHeight="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spans="1:26" ht="15.75" customHeight="1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spans="1:26" ht="15.75" customHeight="1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spans="1:26" ht="15.75" customHeight="1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spans="1:26" ht="15.75" customHeight="1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spans="1:26" ht="15.75" customHeight="1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spans="1:26" ht="15.75" customHeight="1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spans="1:26" ht="15.75" customHeight="1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spans="1:26" ht="15.75" customHeight="1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spans="1:26" ht="15.75" customHeight="1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spans="1:26" ht="15.75" customHeight="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spans="1:26" ht="15.75" customHeight="1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spans="1:26" ht="15.75" customHeight="1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spans="1:26" ht="15.75" customHeight="1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spans="1:26" ht="15.75" customHeight="1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spans="1:26" ht="15.75" customHeight="1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spans="1:26" ht="15.75" customHeight="1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spans="1:26" ht="15.75" customHeight="1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spans="1:26" ht="15.75" customHeight="1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spans="1:26" ht="15.75" customHeight="1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spans="1:26" ht="15.75" customHeight="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spans="1:26" ht="15.75" customHeight="1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spans="1:26" ht="15.75" customHeight="1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spans="1:26" ht="15.75" customHeight="1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spans="1:26" ht="15.75" customHeight="1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spans="1:26" ht="15.75" customHeight="1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spans="1:26" ht="15.75" customHeight="1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spans="1:26" ht="15.75" customHeight="1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spans="1:26" ht="15.75" customHeight="1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spans="1:26" ht="15.75" customHeight="1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spans="1:26" ht="15.75" customHeight="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spans="1:26" ht="15.75" customHeight="1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spans="1:26" ht="15.75" customHeight="1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spans="1:26" ht="15.75" customHeight="1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spans="1:26" ht="15.75" customHeight="1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spans="1:26" ht="15.75" customHeight="1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spans="1:26" ht="15.75" customHeight="1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spans="1:26" ht="15.75" customHeight="1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spans="1:26" ht="15.75" customHeight="1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spans="1:26" ht="15.75" customHeight="1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spans="1:26" ht="15.75" customHeight="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spans="1:26" ht="15.75" customHeight="1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spans="1:26" ht="15.75" customHeight="1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spans="1:26" ht="15.75" customHeight="1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spans="1:26" ht="15.75" customHeight="1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spans="1:26" ht="15.75" customHeight="1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spans="1:26" ht="15.75" customHeight="1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spans="1:26" ht="15.75" customHeight="1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spans="1:26" ht="15.75" customHeight="1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spans="1:26" ht="15.75" customHeight="1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spans="1:26" ht="15.75" customHeight="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spans="1:26" ht="15.75" customHeight="1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spans="1:26" ht="15.75" customHeight="1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spans="1:26" ht="15.75" customHeight="1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spans="1:26" ht="15.75" customHeight="1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spans="1:26" ht="15.75" customHeight="1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spans="1:26" ht="15.75" customHeight="1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spans="1:26" ht="15.75" customHeight="1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spans="1:26" ht="15.75" customHeight="1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spans="1:26" ht="15.75" customHeight="1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spans="1:26" ht="15.75" customHeight="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spans="1:26" ht="15.75" customHeight="1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spans="1:26" ht="15.75" customHeight="1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spans="1:26" ht="15.75" customHeight="1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spans="1:26" ht="15.75" customHeight="1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spans="1:26" ht="15.75" customHeight="1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spans="1:26" ht="15.75" customHeight="1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spans="1:26" ht="15.75" customHeight="1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spans="1:26" ht="15.75" customHeight="1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spans="1:26" ht="15.75" customHeight="1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spans="1:26" ht="15.75" customHeight="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spans="1:26" ht="15.75" customHeight="1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spans="1:26" ht="15.75" customHeight="1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spans="1:26" ht="15.75" customHeight="1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spans="1:26" ht="15.75" customHeight="1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spans="1:26" ht="15.75" customHeight="1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spans="1:26" ht="15.75" customHeight="1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spans="1:26" ht="15.75" customHeight="1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spans="1:26" ht="15.75" customHeight="1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spans="1:26" ht="15.75" customHeight="1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spans="1:26" ht="15.75" customHeight="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spans="1:26" ht="15.75" customHeight="1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spans="1:26" ht="15.75" customHeight="1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spans="1:26" ht="15.75" customHeight="1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spans="1:26" ht="15.75" customHeight="1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spans="1:26" ht="15.75" customHeight="1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spans="1:26" ht="15.75" customHeight="1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spans="1:26" ht="15.75" customHeight="1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spans="1:26" ht="15.75" customHeight="1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spans="1:26" ht="15.75" customHeight="1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spans="1:26" ht="15.75" customHeight="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spans="1:26" ht="15.75" customHeight="1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spans="1:26" ht="15.75" customHeight="1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spans="1:26" ht="15.75" customHeight="1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spans="1:26" ht="15.75" customHeight="1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spans="1:26" ht="15.75" customHeight="1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spans="1:26" ht="15.75" customHeight="1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spans="1:26" ht="15.75" customHeight="1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spans="1:26" ht="15.75" customHeight="1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spans="1:26" ht="15.75" customHeight="1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spans="1:26" ht="15.75" customHeight="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spans="1:26" ht="15.75" customHeight="1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spans="1:26" ht="15.75" customHeight="1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spans="1:26" ht="15.75" customHeight="1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spans="1:26" ht="15.75" customHeight="1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spans="1:26" ht="15.75" customHeight="1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spans="1:26" ht="15.75" customHeight="1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spans="1:26" ht="15.75" customHeight="1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spans="1:26" ht="15.75" customHeight="1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spans="1:26" ht="15.75" customHeight="1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spans="1:26" ht="15.75" customHeight="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spans="1:26" ht="15.75" customHeight="1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spans="1:26" ht="15.75" customHeight="1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spans="1:26" ht="15.75" customHeight="1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spans="1:26" ht="15.75" customHeight="1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spans="1:26" ht="15.75" customHeight="1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spans="1:26" ht="15.75" customHeight="1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spans="1:26" ht="15.75" customHeight="1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spans="1:26" ht="15.75" customHeight="1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spans="1:26" ht="15.75" customHeight="1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spans="1:26" ht="15.75" customHeight="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spans="1:26" ht="15.75" customHeight="1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spans="1:26" ht="15.75" customHeight="1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spans="1:26" ht="15.75" customHeight="1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spans="1:26" ht="15.75" customHeight="1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spans="1:26" ht="15.75" customHeight="1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spans="1:26" ht="15.75" customHeight="1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spans="1:26" ht="15.75" customHeight="1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spans="1:26" ht="15.75" customHeight="1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spans="1:26" ht="15.75" customHeight="1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spans="1:26" ht="15.75" customHeight="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spans="1:26" ht="15.75" customHeight="1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spans="1:26" ht="15.75" customHeight="1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spans="1:26" ht="15.75" customHeight="1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spans="1:26" ht="15.75" customHeight="1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spans="1:26" ht="15.75" customHeight="1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spans="1:26" ht="15.75" customHeight="1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spans="1:26" ht="15.75" customHeight="1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spans="1:26" ht="15.75" customHeight="1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spans="1:26" ht="15.75" customHeight="1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spans="1:26" ht="15.75" customHeight="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spans="1:26" ht="15.75" customHeight="1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spans="1:26" ht="15.75" customHeight="1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spans="1:26" ht="15.75" customHeight="1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spans="1:26" ht="15.75" customHeight="1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spans="1:26" ht="15.75" customHeight="1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spans="1:26" ht="15.75" customHeight="1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spans="1:26" ht="15.75" customHeight="1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spans="1:26" ht="15.75" customHeight="1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spans="1:26" ht="15.75" customHeight="1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spans="1:26" ht="15.75" customHeight="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spans="1:26" ht="15.75" customHeight="1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spans="1:26" ht="15.75" customHeight="1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spans="1:26" ht="15.75" customHeight="1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spans="1:26" ht="15.75" customHeight="1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spans="1:26" ht="15.75" customHeight="1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spans="1:26" ht="15.75" customHeight="1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spans="1:26" ht="15.75" customHeight="1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spans="1:26" ht="15.75" customHeight="1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spans="1:26" ht="15.75" customHeight="1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spans="1:26" ht="15.75" customHeight="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spans="1:26" ht="15.75" customHeight="1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spans="1:26" ht="15.75" customHeight="1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spans="1:26" ht="15.75" customHeight="1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spans="1:26" ht="15.75" customHeight="1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spans="1:26" ht="15.75" customHeight="1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spans="1:26" ht="15.75" customHeight="1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spans="1:26" ht="15.75" customHeight="1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spans="1:26" ht="15.75" customHeight="1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spans="1:26" ht="15.75" customHeight="1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spans="1:26" ht="15.75" customHeight="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spans="1:26" ht="15.75" customHeight="1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spans="1:26" ht="15.75" customHeight="1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spans="1:26" ht="15.75" customHeight="1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spans="1:26" ht="15.75" customHeight="1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spans="1:26" ht="15.75" customHeight="1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spans="1:26" ht="15.75" customHeight="1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spans="1:26" ht="15.75" customHeight="1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spans="1:26" ht="15.75" customHeight="1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spans="1:26" ht="15.75" customHeight="1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spans="1:26" ht="15.75" customHeight="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spans="1:26" ht="15.75" customHeight="1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spans="1:26" ht="15.75" customHeight="1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spans="1:26" ht="15.75" customHeight="1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spans="1:26" ht="15.75" customHeight="1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spans="1:26" ht="15.75" customHeight="1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spans="1:26" ht="15.75" customHeight="1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spans="1:26" ht="15.75" customHeight="1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spans="1:26" ht="15.75" customHeight="1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spans="1:26" ht="15.75" customHeight="1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spans="1:26" ht="15.75" customHeight="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spans="1:26" ht="15.75" customHeight="1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spans="1:26" ht="15.75" customHeight="1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spans="1:26" ht="15.75" customHeight="1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spans="1:26" ht="15.75" customHeight="1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spans="1:26" ht="15.75" customHeight="1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spans="1:26" ht="15.75" customHeight="1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spans="1:26" ht="15.75" customHeight="1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spans="1:26" ht="15.75" customHeight="1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spans="1:26" ht="15.75" customHeight="1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spans="1:26" ht="15.75" customHeight="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spans="1:26" ht="15.75" customHeight="1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spans="1:26" ht="15.75" customHeight="1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spans="1:26" ht="15.75" customHeight="1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spans="1:26" ht="15.75" customHeight="1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spans="1:26" ht="15.75" customHeight="1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spans="1:26" ht="15.75" customHeight="1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spans="1:26" ht="15.75" customHeight="1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spans="1:26" ht="15.75" customHeight="1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spans="1:26" ht="15.75" customHeight="1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spans="1:26" ht="15.75" customHeight="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spans="1:26" ht="15.75" customHeight="1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spans="1:26" ht="15.75" customHeight="1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spans="1:26" ht="15.75" customHeight="1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spans="1:26" ht="15.75" customHeight="1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spans="1:26" ht="15.75" customHeight="1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spans="1:26" ht="15.75" customHeight="1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spans="1:26" ht="15.75" customHeight="1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spans="1:26" ht="15.75" customHeight="1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spans="1:26" ht="15.75" customHeight="1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spans="1:26" ht="15.75" customHeight="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spans="1:26" ht="15.75" customHeight="1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spans="1:26" ht="15.75" customHeight="1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spans="1:26" ht="15.75" customHeight="1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spans="1:26" ht="15.75" customHeight="1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spans="1:26" ht="15.75" customHeight="1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spans="1:26" ht="15.75" customHeight="1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spans="1:26" ht="15.75" customHeight="1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spans="1:26" ht="15.75" customHeight="1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spans="1:26" ht="15.75" customHeight="1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spans="1:26" ht="15.75" customHeight="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spans="1:26" ht="15.75" customHeight="1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spans="1:26" ht="15.75" customHeight="1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spans="1:26" ht="15.75" customHeight="1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spans="1:26" ht="15.75" customHeight="1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spans="1:26" ht="15.75" customHeight="1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spans="1:26" ht="15.75" customHeight="1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spans="1:26" ht="15.75" customHeight="1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spans="1:26" ht="15.75" customHeight="1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spans="1:26" ht="15.75" customHeight="1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spans="1:26" ht="15.75" customHeight="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spans="1:26" ht="15.75" customHeight="1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spans="1:26" ht="15.75" customHeight="1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spans="1:26" ht="15.75" customHeight="1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spans="1:26" ht="15.75" customHeight="1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spans="1:26" ht="15.75" customHeight="1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spans="1:26" ht="15.75" customHeight="1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spans="1:26" ht="15.75" customHeight="1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spans="1:26" ht="15.75" customHeight="1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spans="1:26" ht="15.75" customHeight="1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spans="1:26" ht="15.75" customHeight="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spans="1:26" ht="15.75" customHeight="1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spans="1:26" ht="15.75" customHeight="1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spans="1:26" ht="15.75" customHeight="1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spans="1:26" ht="15.75" customHeight="1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spans="1:26" ht="15.75" customHeight="1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spans="1:26" ht="15.75" customHeight="1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spans="1:26" ht="15.75" customHeight="1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spans="1:26" ht="15.75" customHeight="1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spans="1:26" ht="15.75" customHeight="1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spans="1:26" ht="15.75" customHeight="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spans="1:26" ht="15.75" customHeight="1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spans="1:26" ht="15.75" customHeight="1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spans="1:26" ht="15.75" customHeight="1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spans="1:26" ht="15.75" customHeight="1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spans="1:26" ht="15.75" customHeight="1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spans="1:26" ht="15.75" customHeight="1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spans="1:26" ht="15.75" customHeight="1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spans="1:26" ht="15.75" customHeight="1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spans="1:26" ht="15.75" customHeight="1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spans="1:26" ht="15.75" customHeight="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spans="1:26" ht="15.75" customHeight="1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spans="1:26" ht="15.75" customHeight="1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spans="1:26" ht="15.75" customHeight="1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spans="1:26" ht="15.75" customHeight="1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spans="1:26" ht="15.75" customHeight="1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spans="1:26" ht="15.75" customHeight="1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spans="1:26" ht="15.75" customHeight="1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spans="1:26" ht="15.75" customHeight="1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spans="1:26" ht="15.75" customHeight="1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spans="1:26" ht="15.75" customHeight="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spans="1:26" ht="15.75" customHeight="1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spans="1:26" ht="15.75" customHeight="1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spans="1:26" ht="15.75" customHeight="1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spans="1:26" ht="15.75" customHeight="1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spans="1:26" ht="15.75" customHeight="1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spans="1:26" ht="15.75" customHeight="1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spans="1:26" ht="15.75" customHeight="1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spans="1:26" ht="15.75" customHeight="1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spans="1:26" ht="15.75" customHeight="1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spans="1:26" ht="15.75" customHeight="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spans="1:26" ht="15.75" customHeight="1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spans="1:26" ht="15.75" customHeight="1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spans="1:26" ht="15.75" customHeight="1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spans="1:26" ht="15.75" customHeight="1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spans="1:26" ht="15.75" customHeight="1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spans="1:26" ht="15.75" customHeight="1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spans="1:26" ht="15.75" customHeight="1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spans="1:26" ht="15.75" customHeight="1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spans="1:26" ht="15.75" customHeight="1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spans="1:26" ht="15.75" customHeight="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spans="1:26" ht="15.75" customHeight="1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spans="1:26" ht="15.75" customHeight="1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spans="1:26" ht="15.75" customHeight="1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spans="1:26" ht="15.75" customHeight="1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spans="1:26" ht="15.75" customHeight="1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spans="1:26" ht="15.75" customHeight="1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spans="1:26" ht="15.75" customHeight="1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spans="1:26" ht="15.75" customHeight="1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spans="1:26" ht="15.75" customHeight="1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spans="1:26" ht="15.75" customHeight="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spans="1:26" ht="15.75" customHeight="1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spans="1:26" ht="15.75" customHeight="1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spans="1:26" ht="15.75" customHeight="1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spans="1:26" ht="15.75" customHeight="1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spans="1:26" ht="15.75" customHeight="1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spans="1:26" ht="15.75" customHeight="1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spans="1:26" ht="15.75" customHeight="1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spans="1:26" ht="15.75" customHeight="1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spans="1:26" ht="15.75" customHeight="1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spans="1:26" ht="15.75" customHeight="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spans="1:26" ht="15.75" customHeight="1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spans="1:26" ht="15.75" customHeight="1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spans="1:26" ht="15.75" customHeight="1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spans="1:26" ht="15.75" customHeight="1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spans="1:26" ht="15.75" customHeight="1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spans="1:26" ht="15.75" customHeight="1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spans="1:26" ht="15.75" customHeight="1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spans="1:26" ht="15.75" customHeight="1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spans="1:26" ht="15.75" customHeight="1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spans="1:26" ht="15.75" customHeight="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spans="1:26" ht="15.75" customHeight="1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spans="1:26" ht="15.75" customHeight="1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spans="1:26" ht="15.75" customHeight="1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spans="1:26" ht="15.75" customHeight="1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spans="1:26" ht="15.75" customHeight="1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spans="1:26" ht="15.75" customHeight="1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spans="1:26" ht="15.75" customHeight="1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spans="1:26" ht="15.75" customHeight="1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spans="1:26" ht="15.75" customHeight="1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spans="1:26" ht="15.75" customHeight="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spans="1:26" ht="15.75" customHeight="1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spans="1:26" ht="15.75" customHeight="1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spans="1:26" ht="15.75" customHeight="1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spans="1:26" ht="15.75" customHeight="1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spans="1:26" ht="15.75" customHeight="1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spans="1:26" ht="15.75" customHeight="1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spans="1:26" ht="15.75" customHeight="1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spans="1:26" ht="15.75" customHeight="1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spans="1:26" ht="15.75" customHeight="1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spans="1:26" ht="15.75" customHeight="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spans="1:26" ht="15.75" customHeight="1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spans="1:26" ht="15.75" customHeight="1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spans="1:26" ht="15.75" customHeight="1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spans="1:26" ht="15.75" customHeight="1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spans="1:26" ht="15.75" customHeight="1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spans="1:26" ht="15.75" customHeight="1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spans="1:26" ht="15.75" customHeight="1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spans="1:26" ht="15.75" customHeight="1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spans="1:26" ht="15.75" customHeight="1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spans="1:26" ht="15.75" customHeight="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spans="1:26" ht="15.75" customHeight="1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spans="1:26" ht="15.75" customHeight="1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spans="1:26" ht="15.75" customHeight="1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spans="1:26" ht="15.75" customHeight="1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spans="1:26" ht="15.75" customHeight="1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spans="1:26" ht="15.75" customHeight="1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spans="1:26" ht="15.75" customHeight="1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spans="1:26" ht="15.75" customHeight="1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spans="1:26" ht="15.75" customHeight="1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spans="1:26" ht="15.75" customHeight="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spans="1:26" ht="15.75" customHeight="1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spans="1:26" ht="15.75" customHeight="1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spans="1:26" ht="15.75" customHeight="1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spans="1:26" ht="15.75" customHeight="1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spans="1:26" ht="15.75" customHeight="1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spans="1:26" ht="15.75" customHeight="1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spans="1:26" ht="15.75" customHeight="1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spans="1:26" ht="15.75" customHeight="1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spans="1:26" ht="15.75" customHeight="1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spans="1:26" ht="15.75" customHeight="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spans="1:26" ht="15.75" customHeight="1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spans="1:26" ht="15.75" customHeight="1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spans="1:26" ht="15.75" customHeight="1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spans="1:26" ht="15.75" customHeight="1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spans="1:26" ht="15.75" customHeight="1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spans="1:26" ht="15.75" customHeight="1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spans="1:26" ht="15.75" customHeight="1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spans="1:26" ht="15.75" customHeight="1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spans="1:26" ht="15.75" customHeight="1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spans="1:26" ht="15.75" customHeight="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spans="1:26" ht="15.75" customHeight="1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spans="1:26" ht="15.75" customHeight="1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spans="1:26" ht="15.75" customHeight="1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spans="1:26" ht="15.75" customHeight="1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spans="1:26" ht="15.75" customHeight="1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spans="1:26" ht="15.75" customHeight="1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spans="1:26" ht="15.75" customHeight="1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spans="1:26" ht="15.75" customHeight="1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spans="1:26" ht="15.75" customHeight="1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spans="1:26" ht="15.75" customHeight="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spans="1:26" ht="15.75" customHeight="1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spans="1:26" ht="15.75" customHeight="1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spans="1:26" ht="15.75" customHeight="1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spans="1:26" ht="15.75" customHeight="1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spans="1:26" ht="15.75" customHeight="1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spans="1:26" ht="15.75" customHeight="1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spans="1:26" ht="15.75" customHeight="1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spans="1:26" ht="15.75" customHeight="1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spans="1:26" ht="15.75" customHeight="1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spans="1:26" ht="15.75" customHeight="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spans="1:26" ht="15.75" customHeight="1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spans="1:26" ht="15.75" customHeight="1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spans="1:26" ht="15.75" customHeight="1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spans="1:26" ht="15.75" customHeight="1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spans="1:26" ht="15.75" customHeight="1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spans="1:26" ht="15.75" customHeight="1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spans="1:26" ht="15.75" customHeight="1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spans="1:26" ht="15.75" customHeight="1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spans="1:26" ht="15.75" customHeight="1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spans="1:26" ht="15.75" customHeight="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spans="1:26" ht="15.75" customHeight="1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spans="1:26" ht="15.75" customHeight="1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spans="1:26" ht="15.75" customHeight="1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spans="1:26" ht="15.75" customHeight="1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spans="1:26" ht="15.75" customHeight="1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spans="1:26" ht="15.75" customHeight="1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spans="1:26" ht="15.75" customHeight="1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spans="1:26" ht="15.75" customHeight="1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spans="1:26" ht="15.75" customHeight="1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spans="1:26" ht="15.75" customHeight="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spans="1:26" ht="15.75" customHeight="1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spans="1:26" ht="15.75" customHeight="1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spans="1:26" ht="15.75" customHeight="1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spans="1:26" ht="15.75" customHeight="1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spans="1:26" ht="15.75" customHeight="1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spans="1:26" ht="15.75" customHeight="1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spans="1:26" ht="15.75" customHeight="1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spans="1:26" ht="15.75" customHeight="1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spans="1:26" ht="15.75" customHeight="1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spans="1:26" ht="15.75" customHeight="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spans="1:26" ht="15.75" customHeight="1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spans="1:26" ht="15.75" customHeight="1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spans="1:26" ht="15.75" customHeight="1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spans="1:26" ht="15.75" customHeight="1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spans="1:26" ht="15.75" customHeight="1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spans="1:26" ht="15.75" customHeight="1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spans="1:26" ht="15.75" customHeight="1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spans="1:26" ht="15.75" customHeight="1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spans="1:26" ht="15.75" customHeight="1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spans="1:26" ht="15.75" customHeight="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spans="1:26" ht="15.75" customHeight="1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spans="1:26" ht="15.75" customHeight="1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spans="1:26" ht="15.75" customHeight="1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spans="1:26" ht="15.75" customHeight="1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spans="1:26" ht="15.75" customHeight="1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spans="1:26" ht="15.75" customHeight="1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spans="1:26" ht="15.75" customHeight="1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spans="1:26" ht="15.75" customHeight="1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spans="1:26" ht="15.75" customHeight="1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spans="1:26" ht="15.75" customHeight="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spans="1:26" ht="15.75" customHeight="1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spans="1:26" ht="15.75" customHeight="1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spans="1:26" ht="15.75" customHeight="1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spans="1:26" ht="15.75" customHeight="1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spans="1:26" ht="15.75" customHeight="1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spans="1:26" ht="15.75" customHeight="1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spans="1:26" ht="15.75" customHeight="1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spans="1:26" ht="15.75" customHeight="1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spans="1:26" ht="15.75" customHeight="1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spans="1:26" ht="15.75" customHeight="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spans="1:26" ht="15.75" customHeight="1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spans="1:26" ht="15.75" customHeight="1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spans="1:26" ht="15.75" customHeight="1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spans="1:26" ht="15.75" customHeight="1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spans="1:26" ht="15.75" customHeight="1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spans="1:26" ht="15.75" customHeight="1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spans="1:26" ht="15.75" customHeight="1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spans="1:26" ht="15.75" customHeight="1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spans="1:26" ht="15.75" customHeight="1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spans="1:26" ht="15.75" customHeight="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spans="1:26" ht="15.75" customHeight="1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spans="1:26" ht="15.75" customHeight="1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spans="1:26" ht="15.75" customHeight="1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spans="1:26" ht="15.75" customHeight="1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spans="1:26" ht="15.75" customHeight="1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spans="1:26" ht="15.75" customHeight="1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spans="1:26" ht="15.75" customHeight="1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spans="1:26" ht="15.75" customHeight="1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spans="1:26" ht="15.75" customHeight="1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spans="1:26" ht="15.75" customHeight="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spans="1:26" ht="15.75" customHeight="1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spans="1:26" ht="15.75" customHeight="1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spans="1:26" ht="15.75" customHeight="1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spans="1:26" ht="15.75" customHeight="1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spans="1:26" ht="15.75" customHeight="1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spans="1:26" ht="15.75" customHeight="1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spans="1:26" ht="15.75" customHeight="1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spans="1:26" ht="15.75" customHeight="1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spans="1:26" ht="15.75" customHeight="1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spans="1:26" ht="15.75" customHeight="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spans="1:26" ht="15.75" customHeight="1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spans="1:26" ht="15.75" customHeight="1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spans="1:26" ht="15.75" customHeight="1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spans="1:26" ht="15.75" customHeight="1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spans="1:26" ht="15.75" customHeight="1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spans="1:26" ht="15.75" customHeight="1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spans="1:26" ht="15.75" customHeight="1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spans="1:26" ht="15.75" customHeight="1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spans="1:26" ht="15.75" customHeight="1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spans="1:26" ht="15.75" customHeight="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spans="1:26" ht="15.75" customHeight="1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spans="1:26" ht="15.75" customHeight="1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spans="1:26" ht="15" customHeight="1">
      <c r="A984" s="136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25" right="0.25" top="0.5" bottom="0.5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84"/>
  <sheetViews>
    <sheetView showGridLines="0" workbookViewId="0">
      <selection activeCell="E19" sqref="E19"/>
    </sheetView>
  </sheetViews>
  <sheetFormatPr defaultColWidth="14.42578125" defaultRowHeight="15" customHeight="1"/>
  <cols>
    <col min="1" max="2" width="8.85546875" style="53" customWidth="1"/>
    <col min="3" max="3" width="29.42578125" style="53" customWidth="1"/>
    <col min="4" max="4" width="24.140625" style="53" customWidth="1"/>
    <col min="5" max="5" width="52.42578125" style="53" customWidth="1"/>
    <col min="6" max="6" width="53.28515625" style="53" customWidth="1"/>
    <col min="7" max="26" width="8.85546875" style="53" customWidth="1"/>
  </cols>
  <sheetData>
    <row r="1" spans="1:26" ht="28.5" customHeight="1">
      <c r="A1" s="21"/>
      <c r="B1" s="29"/>
      <c r="C1" s="30"/>
      <c r="D1" s="111" t="s">
        <v>39</v>
      </c>
      <c r="E1" s="31"/>
      <c r="F1" s="30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14.25" customHeight="1">
      <c r="A2" s="21"/>
      <c r="B2" s="29"/>
      <c r="C2" s="30"/>
      <c r="D2" s="32"/>
      <c r="E2" s="32"/>
      <c r="F2" s="30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14.25" customHeight="1">
      <c r="A3" s="21"/>
      <c r="B3" s="90" t="s">
        <v>1</v>
      </c>
      <c r="C3" s="126"/>
      <c r="D3" s="84" t="s">
        <v>2</v>
      </c>
      <c r="E3" s="126"/>
      <c r="F3" s="127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spans="1:26" ht="14.25" customHeight="1">
      <c r="A4" s="21"/>
      <c r="B4" s="90" t="s">
        <v>5</v>
      </c>
      <c r="C4" s="126"/>
      <c r="D4" s="84"/>
      <c r="E4" s="126"/>
      <c r="F4" s="127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spans="1:26" ht="42" customHeight="1">
      <c r="A5" s="21"/>
      <c r="B5" s="91" t="s">
        <v>40</v>
      </c>
      <c r="C5" s="127"/>
      <c r="D5" s="84" t="s">
        <v>41</v>
      </c>
      <c r="E5" s="126"/>
      <c r="F5" s="127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spans="1:26" ht="14.25" customHeight="1">
      <c r="A6" s="21"/>
      <c r="B6" s="33"/>
      <c r="C6" s="21"/>
      <c r="D6" s="21"/>
      <c r="E6" s="21"/>
      <c r="F6" s="21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spans="1:26" ht="14.25" customHeight="1">
      <c r="A7" s="34"/>
      <c r="B7" s="35"/>
      <c r="C7" s="36"/>
      <c r="D7" s="36"/>
      <c r="E7" s="36"/>
      <c r="F7" s="36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spans="1:26" ht="14.25" customHeight="1">
      <c r="A8" s="37"/>
      <c r="B8" s="76" t="s">
        <v>27</v>
      </c>
      <c r="C8" s="77" t="s">
        <v>42</v>
      </c>
      <c r="D8" s="77" t="s">
        <v>43</v>
      </c>
      <c r="E8" s="114" t="s">
        <v>44</v>
      </c>
      <c r="F8" s="112" t="s">
        <v>45</v>
      </c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6" ht="46.5" customHeight="1">
      <c r="A9" s="21"/>
      <c r="B9" s="118">
        <v>1</v>
      </c>
      <c r="C9" s="119" t="s">
        <v>34</v>
      </c>
      <c r="D9" s="120" t="s">
        <v>34</v>
      </c>
      <c r="E9" s="121" t="s">
        <v>46</v>
      </c>
      <c r="F9" s="122" t="s">
        <v>47</v>
      </c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spans="1:26" ht="36" customHeight="1">
      <c r="A10" s="21"/>
      <c r="B10" s="115"/>
      <c r="C10" s="116"/>
      <c r="D10" s="117"/>
      <c r="E10" s="113"/>
      <c r="F10" s="113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spans="1:26" ht="14.25" customHeight="1">
      <c r="A11" s="21"/>
      <c r="B11" s="35"/>
      <c r="C11" s="27"/>
      <c r="D11" s="38"/>
      <c r="E11" s="123"/>
      <c r="F11" s="123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spans="1:26" ht="14.25" customHeight="1">
      <c r="A12" s="21"/>
      <c r="B12" s="35"/>
      <c r="C12" s="27"/>
      <c r="D12" s="38"/>
      <c r="E12" s="123"/>
      <c r="F12" s="123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spans="1:26" ht="14.25" customHeight="1">
      <c r="A13" s="21"/>
      <c r="B13" s="35"/>
      <c r="C13" s="27"/>
      <c r="D13" s="38"/>
      <c r="E13" s="123"/>
      <c r="F13" s="123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spans="1:26" ht="14.25" customHeight="1">
      <c r="A14" s="21"/>
      <c r="B14" s="29"/>
      <c r="C14" s="30"/>
      <c r="D14" s="30"/>
      <c r="E14" s="30"/>
      <c r="F14" s="30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6" ht="14.25" customHeight="1">
      <c r="A15" s="21"/>
      <c r="B15" s="29"/>
      <c r="C15" s="30"/>
      <c r="D15" s="30"/>
      <c r="E15" s="30"/>
      <c r="F15" s="30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spans="1:26" ht="14.25" customHeight="1">
      <c r="A16" s="99"/>
      <c r="B16" s="29"/>
      <c r="C16" s="30"/>
      <c r="D16" s="30"/>
      <c r="E16" s="30"/>
      <c r="F16" s="30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spans="1:26" ht="14.25" customHeight="1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spans="1:26" ht="14.25" customHeight="1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spans="1:26" ht="14.25" customHeight="1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1:26" ht="14.25" customHeight="1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6" ht="14.25" customHeight="1">
      <c r="A21" s="99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spans="1:26" ht="14.25" customHeight="1">
      <c r="A22" s="99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spans="1:26" ht="14.25" customHeight="1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spans="1:26" ht="14.25" customHeight="1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spans="1:26" ht="14.25" customHeight="1">
      <c r="A25" s="9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spans="1:26" ht="14.25" customHeight="1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spans="1:26" ht="14.25" customHeight="1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spans="1:26" ht="14.25" customHeight="1">
      <c r="A28" s="99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spans="1:26" ht="14.25" customHeight="1">
      <c r="A29" s="99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spans="1:26" ht="14.25" customHeight="1">
      <c r="A30" s="99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14.25" customHeight="1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spans="1:26" ht="14.25" customHeight="1">
      <c r="A32" s="99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spans="1:26" ht="14.25" customHeight="1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spans="1:26" ht="14.25" customHeight="1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spans="1:26" ht="14.25" customHeight="1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spans="1:26" ht="14.25" customHeight="1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spans="1:26" ht="14.25" customHeight="1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spans="1:26" ht="14.25" customHeight="1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spans="1:26" ht="14.25" customHeight="1">
      <c r="A39" s="99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spans="1:26" ht="14.25" customHeight="1">
      <c r="A40" s="99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14.25" customHeight="1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spans="1:26" ht="14.25" customHeight="1">
      <c r="A42" s="99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spans="1:26" ht="14.25" customHeight="1">
      <c r="A43" s="99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spans="1:26" ht="14.25" customHeight="1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spans="1:26" ht="14.25" customHeight="1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spans="1:26" ht="14.25" customHeight="1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spans="1:26" ht="14.25" customHeight="1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spans="1:26" ht="14.25" customHeight="1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spans="1:26" ht="14.2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spans="1:26" ht="14.25" customHeight="1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spans="1:26" ht="14.25" customHeight="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spans="1:26" ht="14.25" customHeight="1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spans="1:26" ht="14.25" customHeight="1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spans="1:26" ht="14.25" customHeight="1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spans="1:26" ht="14.25" customHeight="1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spans="1:26" ht="14.25" customHeight="1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spans="1:26" ht="14.25" customHeight="1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spans="1:26" ht="14.25" customHeight="1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spans="1:26" ht="14.25" customHeight="1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spans="1:26" ht="14.25" customHeight="1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spans="1:26" ht="14.25" customHeight="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1:26" ht="14.25" customHeight="1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spans="1:26" ht="14.25" customHeight="1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spans="1:26" ht="14.25" customHeight="1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spans="1:26" ht="14.25" customHeight="1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spans="1:26" ht="14.25" customHeight="1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spans="1:26" ht="14.25" customHeight="1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spans="1:26" ht="14.25" customHeight="1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spans="1:26" ht="14.25" customHeight="1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spans="1:26" ht="14.25" customHeight="1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spans="1:26" ht="14.25" customHeight="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spans="1:26" ht="14.25" customHeight="1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spans="1:26" ht="14.25" customHeight="1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spans="1:26" ht="14.25" customHeight="1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spans="1:26" ht="14.25" customHeight="1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spans="1:26" ht="14.25" customHeight="1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spans="1:26" ht="14.25" customHeight="1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spans="1:26" ht="14.25" customHeight="1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spans="1:26" ht="14.25" customHeight="1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spans="1:26" ht="14.25" customHeight="1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spans="1:26" ht="14.25" customHeight="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spans="1:26" ht="14.25" customHeight="1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spans="1:26" ht="14.25" customHeight="1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spans="1:26" ht="14.25" customHeight="1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spans="1:26" ht="14.25" customHeight="1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spans="1:26" ht="14.25" customHeight="1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spans="1:26" ht="14.25" customHeight="1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spans="1:26" ht="14.25" customHeight="1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spans="1:26" ht="14.25" customHeight="1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spans="1:26" ht="14.25" customHeight="1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spans="1:26" ht="14.25" customHeight="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spans="1:26" ht="14.25" customHeight="1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spans="1:26" ht="14.25" customHeight="1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spans="1:26" ht="14.25" customHeight="1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spans="1:26" ht="14.25" customHeight="1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spans="1:26" ht="14.25" customHeight="1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spans="1:26" ht="14.25" customHeight="1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spans="1:26" ht="14.25" customHeight="1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spans="1:26" ht="14.25" customHeight="1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spans="1:26" ht="14.25" customHeight="1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spans="1:26" ht="14.25" customHeight="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spans="1:26" ht="14.25" customHeight="1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spans="1:26" ht="14.25" customHeight="1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spans="1:26" ht="14.25" customHeight="1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spans="1:26" ht="14.25" customHeight="1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spans="1:26" ht="14.25" customHeight="1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spans="1:26" ht="14.25" customHeight="1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spans="1:26" ht="14.25" customHeight="1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spans="1:26" ht="14.25" customHeight="1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spans="1:26" ht="14.25" customHeight="1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spans="1:26" ht="14.25" customHeight="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spans="1:26" ht="14.25" customHeight="1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spans="1:26" ht="14.25" customHeight="1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spans="1:26" ht="14.25" customHeight="1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spans="1:26" ht="14.25" customHeight="1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spans="1:26" ht="14.25" customHeight="1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spans="1:26" ht="14.25" customHeight="1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spans="1:26" ht="14.25" customHeight="1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spans="1:26" ht="14.25" customHeight="1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spans="1:26" ht="14.25" customHeight="1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spans="1:26" ht="14.25" customHeight="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spans="1:26" ht="14.25" customHeight="1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spans="1:26" ht="14.25" customHeight="1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spans="1:26" ht="14.25" customHeight="1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spans="1:26" ht="14.25" customHeight="1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spans="1:26" ht="14.25" customHeight="1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spans="1:26" ht="14.25" customHeight="1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spans="1:26" ht="14.25" customHeight="1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spans="1:26" ht="14.25" customHeight="1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spans="1:26" ht="14.25" customHeight="1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spans="1:26" ht="14.25" customHeight="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spans="1:26" ht="14.25" customHeight="1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spans="1:26" ht="14.25" customHeight="1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spans="1:26" ht="14.25" customHeight="1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spans="1:26" ht="14.25" customHeight="1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spans="1:26" ht="14.25" customHeight="1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spans="1:26" ht="14.25" customHeight="1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spans="1:26" ht="14.25" customHeight="1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spans="1:26" ht="14.25" customHeight="1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spans="1:26" ht="14.25" customHeight="1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spans="1:26" ht="14.25" customHeight="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spans="1:26" ht="14.25" customHeight="1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spans="1:26" ht="14.25" customHeight="1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spans="1:26" ht="14.25" customHeight="1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spans="1:26" ht="14.25" customHeight="1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spans="1:26" ht="14.25" customHeight="1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spans="1:26" ht="14.25" customHeight="1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spans="1:26" ht="14.25" customHeight="1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spans="1:26" ht="14.25" customHeight="1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spans="1:26" ht="14.25" customHeight="1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spans="1:26" ht="14.25" customHeight="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spans="1:26" ht="14.25" customHeight="1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spans="1:26" ht="14.25" customHeight="1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spans="1:26" ht="14.25" customHeight="1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spans="1:26" ht="14.25" customHeight="1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spans="1:26" ht="14.25" customHeight="1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spans="1:26" ht="14.25" customHeight="1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spans="1:26" ht="14.25" customHeight="1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spans="1:26" ht="14.25" customHeight="1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spans="1:26" ht="14.25" customHeight="1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spans="1:26" ht="14.25" customHeight="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spans="1:26" ht="14.25" customHeight="1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spans="1:26" ht="14.25" customHeight="1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spans="1:26" ht="14.25" customHeight="1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spans="1:26" ht="14.25" customHeight="1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spans="1:26" ht="14.25" customHeight="1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spans="1:26" ht="14.25" customHeight="1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spans="1:26" ht="14.25" customHeight="1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spans="1:26" ht="14.25" customHeight="1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spans="1:26" ht="14.25" customHeight="1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spans="1:26" ht="14.25" customHeight="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spans="1:26" ht="14.25" customHeight="1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spans="1:26" ht="14.25" customHeight="1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spans="1:26" ht="14.25" customHeight="1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spans="1:26" ht="14.25" customHeight="1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spans="1:26" ht="14.25" customHeight="1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spans="1:26" ht="14.25" customHeight="1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spans="1:26" ht="14.25" customHeight="1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spans="1:26" ht="14.25" customHeight="1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spans="1:26" ht="14.25" customHeight="1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spans="1:26" ht="14.25" customHeight="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spans="1:26" ht="14.25" customHeight="1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spans="1:26" ht="14.25" customHeight="1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spans="1:26" ht="14.25" customHeight="1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spans="1:26" ht="14.25" customHeight="1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spans="1:26" ht="14.25" customHeight="1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spans="1:26" ht="14.25" customHeight="1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spans="1:26" ht="14.25" customHeight="1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spans="1:26" ht="14.25" customHeight="1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spans="1:26" ht="14.25" customHeight="1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spans="1:26" ht="14.25" customHeight="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spans="1:26" ht="14.25" customHeight="1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spans="1:26" ht="14.25" customHeight="1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spans="1:26" ht="14.25" customHeight="1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spans="1:26" ht="14.25" customHeight="1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spans="1:26" ht="14.25" customHeight="1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spans="1:26" ht="14.25" customHeight="1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spans="1:26" ht="14.25" customHeight="1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spans="1:26" ht="14.25" customHeight="1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spans="1:26" ht="14.25" customHeight="1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spans="1:26" ht="14.25" customHeight="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spans="1:26" ht="14.25" customHeight="1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spans="1:26" ht="14.25" customHeight="1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spans="1:26" ht="14.25" customHeight="1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spans="1:26" ht="14.25" customHeight="1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spans="1:26" ht="14.25" customHeight="1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spans="1:26" ht="14.25" customHeight="1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spans="1:26" ht="14.25" customHeight="1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spans="1:26" ht="14.25" customHeight="1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spans="1:26" ht="14.25" customHeight="1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spans="1:26" ht="15.75" customHeight="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spans="1:26" ht="15.75" customHeight="1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spans="1:26" ht="15.75" customHeight="1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spans="1:26" ht="15.75" customHeight="1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spans="1:26" ht="15.75" customHeight="1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spans="1:26" ht="15.75" customHeight="1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spans="1:26" ht="15.75" customHeight="1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spans="1:26" ht="15.75" customHeight="1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spans="1:26" ht="15.75" customHeight="1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spans="1:26" ht="15.75" customHeight="1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spans="1:26" ht="15.75" customHeight="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spans="1:26" ht="15.75" customHeight="1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spans="1:26" ht="15.75" customHeight="1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spans="1:26" ht="15.75" customHeight="1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spans="1:26" ht="15.75" customHeight="1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spans="1:26" ht="15.75" customHeight="1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spans="1:26" ht="15.75" customHeight="1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spans="1:26" ht="15.75" customHeight="1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spans="1:26" ht="15.75" customHeight="1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spans="1:26" ht="15.75" customHeight="1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spans="1:26" ht="15.75" customHeight="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spans="1:26" ht="15.75" customHeight="1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spans="1:26" ht="15.75" customHeight="1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spans="1:26" ht="15.75" customHeight="1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spans="1:26" ht="15.75" customHeight="1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spans="1:26" ht="15.75" customHeight="1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spans="1:26" ht="15.75" customHeight="1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spans="1:26" ht="15.75" customHeight="1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spans="1:26" ht="15.75" customHeight="1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spans="1:26" ht="15.75" customHeight="1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spans="1:26" ht="15.75" customHeight="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spans="1:26" ht="15.75" customHeight="1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spans="1:26" ht="15.75" customHeight="1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spans="1:26" ht="15.75" customHeight="1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spans="1:26" ht="15.75" customHeight="1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spans="1:26" ht="15.75" customHeight="1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spans="1:26" ht="15.75" customHeight="1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spans="1:26" ht="15.75" customHeight="1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spans="1:26" ht="15.75" customHeight="1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spans="1:26" ht="15.75" customHeight="1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spans="1:26" ht="15.75" customHeight="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spans="1:26" ht="15.75" customHeight="1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spans="1:26" ht="15.75" customHeight="1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spans="1:26" ht="15.75" customHeight="1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spans="1:26" ht="15.75" customHeight="1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spans="1:26" ht="15.75" customHeight="1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spans="1:26" ht="15.75" customHeight="1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spans="1:26" ht="15.75" customHeight="1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spans="1:26" ht="15.75" customHeight="1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spans="1:26" ht="15.75" customHeight="1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spans="1:26" ht="15.75" customHeight="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spans="1:26" ht="15.75" customHeight="1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spans="1:26" ht="15.75" customHeight="1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spans="1:26" ht="15.75" customHeight="1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spans="1:26" ht="15.75" customHeight="1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spans="1:26" ht="15.75" customHeight="1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spans="1:26" ht="15.75" customHeight="1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spans="1:26" ht="15.75" customHeight="1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spans="1:26" ht="15.75" customHeight="1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spans="1:26" ht="15.75" customHeight="1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spans="1:26" ht="15.75" customHeight="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spans="1:26" ht="15.75" customHeight="1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spans="1:26" ht="15.75" customHeight="1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spans="1:26" ht="15.75" customHeight="1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spans="1:26" ht="15.75" customHeight="1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spans="1:26" ht="15.75" customHeight="1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spans="1:26" ht="15.75" customHeight="1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spans="1:26" ht="15.75" customHeight="1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spans="1:26" ht="15.75" customHeight="1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spans="1:26" ht="15.75" customHeight="1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spans="1:26" ht="15.75" customHeight="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spans="1:26" ht="15.75" customHeight="1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spans="1:26" ht="15.75" customHeight="1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spans="1:26" ht="15.75" customHeight="1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spans="1:26" ht="15.75" customHeight="1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spans="1:26" ht="15.75" customHeight="1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spans="1:26" ht="15.75" customHeight="1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spans="1:26" ht="15.75" customHeight="1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spans="1:26" ht="15.75" customHeight="1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spans="1:26" ht="15.75" customHeight="1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spans="1:26" ht="15.75" customHeight="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spans="1:26" ht="15.75" customHeight="1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spans="1:26" ht="15.75" customHeight="1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spans="1:26" ht="15.75" customHeight="1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spans="1:26" ht="15.75" customHeight="1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spans="1:26" ht="15.75" customHeight="1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spans="1:26" ht="15.75" customHeight="1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spans="1:26" ht="15.75" customHeight="1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spans="1:26" ht="15.75" customHeight="1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spans="1:26" ht="15.75" customHeight="1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spans="1:26" ht="15.75" customHeight="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spans="1:26" ht="15.75" customHeight="1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spans="1:26" ht="15.75" customHeight="1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spans="1:26" ht="15.75" customHeight="1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spans="1:26" ht="15.75" customHeight="1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spans="1:26" ht="15.75" customHeight="1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spans="1:26" ht="15.75" customHeight="1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spans="1:26" ht="15.75" customHeight="1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spans="1:26" ht="15.75" customHeight="1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spans="1:26" ht="15.75" customHeight="1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spans="1:26" ht="15.75" customHeight="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spans="1:26" ht="15.75" customHeight="1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spans="1:26" ht="15.75" customHeight="1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spans="1:26" ht="15.75" customHeight="1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spans="1:26" ht="15.75" customHeight="1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spans="1:26" ht="15.75" customHeight="1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spans="1:26" ht="15.75" customHeight="1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spans="1:26" ht="15.75" customHeight="1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spans="1:26" ht="15.75" customHeight="1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spans="1:26" ht="15.75" customHeight="1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spans="1:26" ht="15.75" customHeight="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spans="1:26" ht="15.75" customHeight="1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spans="1:26" ht="15.75" customHeight="1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spans="1:26" ht="15.75" customHeight="1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spans="1:26" ht="15.75" customHeight="1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spans="1:26" ht="15.75" customHeight="1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spans="1:26" ht="15.75" customHeight="1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spans="1:26" ht="15.75" customHeight="1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spans="1:26" ht="15.75" customHeight="1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spans="1:26" ht="15.75" customHeight="1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spans="1:26" ht="15.75" customHeight="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spans="1:26" ht="15.75" customHeight="1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spans="1:26" ht="15.75" customHeight="1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spans="1:26" ht="15.75" customHeight="1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spans="1:26" ht="15.75" customHeight="1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spans="1:26" ht="15.75" customHeight="1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spans="1:26" ht="15.75" customHeight="1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spans="1:26" ht="15.75" customHeight="1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spans="1:26" ht="15.75" customHeight="1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spans="1:26" ht="15.75" customHeight="1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spans="1:26" ht="15.75" customHeight="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spans="1:26" ht="15.75" customHeight="1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spans="1:26" ht="15.75" customHeight="1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spans="1:26" ht="15.75" customHeight="1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spans="1:26" ht="15.75" customHeight="1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spans="1:26" ht="15.75" customHeight="1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spans="1:26" ht="15.75" customHeight="1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spans="1:26" ht="15.75" customHeight="1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spans="1:26" ht="15.75" customHeight="1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spans="1:26" ht="15.75" customHeight="1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spans="1:26" ht="15.75" customHeight="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spans="1:26" ht="15.75" customHeight="1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spans="1:26" ht="15.75" customHeight="1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spans="1:26" ht="15.75" customHeight="1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spans="1:26" ht="15.75" customHeight="1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spans="1:26" ht="15.75" customHeight="1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spans="1:26" ht="15.75" customHeight="1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spans="1:26" ht="15.75" customHeight="1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spans="1:26" ht="15.75" customHeight="1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spans="1:26" ht="15.75" customHeight="1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spans="1:26" ht="15.75" customHeight="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spans="1:26" ht="15.75" customHeight="1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spans="1:26" ht="15.75" customHeight="1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spans="1:26" ht="15.75" customHeight="1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spans="1:26" ht="15.75" customHeight="1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spans="1:26" ht="15.75" customHeight="1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spans="1:26" ht="15.75" customHeight="1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spans="1:26" ht="15.75" customHeight="1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spans="1:26" ht="15.75" customHeight="1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spans="1:26" ht="15.75" customHeight="1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spans="1:26" ht="15.75" customHeight="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spans="1:26" ht="15.75" customHeight="1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spans="1:26" ht="15.75" customHeight="1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spans="1:26" ht="15.75" customHeight="1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spans="1:26" ht="15.75" customHeight="1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spans="1:26" ht="15.75" customHeight="1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spans="1:26" ht="15.75" customHeight="1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spans="1:26" ht="15.75" customHeight="1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spans="1:26" ht="15.75" customHeight="1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spans="1:26" ht="15.75" customHeight="1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spans="1:26" ht="15.75" customHeight="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spans="1:26" ht="15.75" customHeight="1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spans="1:26" ht="15.75" customHeight="1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spans="1:26" ht="15.75" customHeight="1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spans="1:26" ht="15.75" customHeight="1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spans="1:26" ht="15.75" customHeight="1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spans="1:26" ht="15.75" customHeight="1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spans="1:26" ht="15.75" customHeight="1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spans="1:26" ht="15.75" customHeight="1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spans="1:26" ht="15.75" customHeight="1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spans="1:26" ht="15.75" customHeight="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spans="1:26" ht="15.75" customHeight="1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spans="1:26" ht="15.75" customHeight="1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spans="1:26" ht="15.75" customHeight="1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spans="1:26" ht="15.75" customHeight="1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spans="1:26" ht="15.75" customHeight="1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spans="1:26" ht="15.75" customHeight="1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spans="1:26" ht="15.75" customHeight="1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spans="1:26" ht="15.75" customHeight="1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spans="1:26" ht="15.75" customHeight="1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spans="1:26" ht="15.75" customHeight="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spans="1:26" ht="15.75" customHeight="1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spans="1:26" ht="15.75" customHeight="1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spans="1:26" ht="15.75" customHeight="1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spans="1:26" ht="15.75" customHeight="1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spans="1:26" ht="15.75" customHeight="1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spans="1:26" ht="15.75" customHeight="1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spans="1:26" ht="15.75" customHeight="1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spans="1:26" ht="15.75" customHeight="1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spans="1:26" ht="15.75" customHeight="1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spans="1:26" ht="15.75" customHeight="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spans="1:26" ht="15.75" customHeight="1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spans="1:26" ht="15.75" customHeight="1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spans="1:26" ht="15.75" customHeight="1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spans="1:26" ht="15.75" customHeight="1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spans="1:26" ht="15.75" customHeight="1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spans="1:26" ht="15.75" customHeight="1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spans="1:26" ht="15.75" customHeight="1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spans="1:26" ht="15.75" customHeight="1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spans="1:26" ht="15.75" customHeight="1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spans="1:26" ht="15.75" customHeight="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spans="1:26" ht="15.75" customHeight="1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spans="1:26" ht="15.75" customHeight="1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spans="1:26" ht="15.75" customHeight="1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spans="1:26" ht="15.75" customHeight="1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spans="1:26" ht="15.75" customHeight="1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spans="1:26" ht="15.75" customHeight="1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spans="1:26" ht="15.75" customHeight="1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spans="1:26" ht="15.75" customHeight="1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spans="1:26" ht="15.75" customHeight="1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spans="1:26" ht="15.75" customHeight="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spans="1:26" ht="15.75" customHeight="1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spans="1:26" ht="15.75" customHeight="1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spans="1:26" ht="15.75" customHeight="1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spans="1:26" ht="15.75" customHeight="1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spans="1:26" ht="15.75" customHeight="1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spans="1:26" ht="15.75" customHeight="1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spans="1:26" ht="15.75" customHeight="1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spans="1:26" ht="15.75" customHeight="1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spans="1:26" ht="15.75" customHeight="1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spans="1:26" ht="15.75" customHeight="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spans="1:26" ht="15.75" customHeight="1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spans="1:26" ht="15.75" customHeight="1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spans="1:26" ht="15.75" customHeight="1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spans="1:26" ht="15.75" customHeight="1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spans="1:26" ht="15.75" customHeight="1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spans="1:26" ht="15.75" customHeight="1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spans="1:26" ht="15.75" customHeight="1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spans="1:26" ht="15.75" customHeight="1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spans="1:26" ht="15.75" customHeight="1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spans="1:26" ht="15.75" customHeight="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spans="1:26" ht="15.75" customHeight="1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spans="1:26" ht="15.75" customHeight="1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spans="1:26" ht="15.75" customHeight="1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spans="1:26" ht="15.75" customHeight="1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spans="1:26" ht="15.75" customHeight="1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spans="1:26" ht="15.75" customHeight="1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spans="1:26" ht="15.75" customHeight="1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spans="1:26" ht="15.75" customHeight="1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spans="1:26" ht="15.75" customHeight="1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spans="1:26" ht="15.75" customHeight="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spans="1:26" ht="15.75" customHeight="1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spans="1:26" ht="15.75" customHeight="1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spans="1:26" ht="15.75" customHeight="1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spans="1:26" ht="15.75" customHeight="1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spans="1:26" ht="15.75" customHeight="1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spans="1:26" ht="15.75" customHeight="1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spans="1:26" ht="15.75" customHeight="1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spans="1:26" ht="15.75" customHeight="1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spans="1:26" ht="15.75" customHeight="1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spans="1:26" ht="15.75" customHeight="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spans="1:26" ht="15.75" customHeight="1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spans="1:26" ht="15.75" customHeight="1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spans="1:26" ht="15.75" customHeight="1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spans="1:26" ht="15.75" customHeight="1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spans="1:26" ht="15.75" customHeight="1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spans="1:26" ht="15.75" customHeight="1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spans="1:26" ht="15.75" customHeight="1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spans="1:26" ht="15.75" customHeight="1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spans="1:26" ht="15.75" customHeight="1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spans="1:26" ht="15.75" customHeight="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spans="1:26" ht="15.75" customHeight="1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spans="1:26" ht="15.75" customHeight="1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spans="1:26" ht="15.75" customHeight="1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spans="1:26" ht="15.75" customHeight="1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spans="1:26" ht="15.75" customHeight="1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spans="1:26" ht="15.75" customHeight="1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spans="1:26" ht="15.75" customHeight="1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spans="1:26" ht="15.75" customHeight="1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spans="1:26" ht="15.75" customHeight="1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spans="1:26" ht="15.75" customHeight="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spans="1:26" ht="15.75" customHeight="1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spans="1:26" ht="15.75" customHeight="1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spans="1:26" ht="15.75" customHeight="1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spans="1:26" ht="15.75" customHeight="1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spans="1:26" ht="15.75" customHeight="1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spans="1:26" ht="15.75" customHeight="1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spans="1:26" ht="15.75" customHeight="1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spans="1:26" ht="15.75" customHeight="1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spans="1:26" ht="15.75" customHeight="1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spans="1:26" ht="15.75" customHeight="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spans="1:26" ht="15.75" customHeight="1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spans="1:26" ht="15.75" customHeight="1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spans="1:26" ht="15.75" customHeight="1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spans="1:26" ht="15.75" customHeight="1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spans="1:26" ht="15.75" customHeight="1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spans="1:26" ht="15.75" customHeight="1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spans="1:26" ht="15.75" customHeight="1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spans="1:26" ht="15.75" customHeight="1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spans="1:26" ht="15.75" customHeight="1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spans="1:26" ht="15.75" customHeight="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spans="1:26" ht="15.75" customHeight="1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spans="1:26" ht="15.75" customHeight="1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spans="1:26" ht="15.75" customHeight="1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spans="1:26" ht="15.75" customHeight="1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spans="1:26" ht="15.75" customHeight="1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spans="1:26" ht="15.75" customHeight="1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spans="1:26" ht="15.75" customHeight="1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spans="1:26" ht="15.75" customHeight="1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spans="1:26" ht="15.75" customHeight="1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spans="1:26" ht="15.75" customHeight="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spans="1:26" ht="15.75" customHeight="1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spans="1:26" ht="15.75" customHeight="1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spans="1:26" ht="15.75" customHeight="1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spans="1:26" ht="15.75" customHeight="1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spans="1:26" ht="15.75" customHeight="1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spans="1:26" ht="15.75" customHeight="1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spans="1:26" ht="15.75" customHeight="1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spans="1:26" ht="15.75" customHeight="1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spans="1:26" ht="15.75" customHeight="1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spans="1:26" ht="15.75" customHeight="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spans="1:26" ht="15.75" customHeight="1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spans="1:26" ht="15.75" customHeight="1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spans="1:26" ht="15.75" customHeight="1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spans="1:26" ht="15.75" customHeight="1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spans="1:26" ht="15.75" customHeight="1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spans="1:26" ht="15.75" customHeight="1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spans="1:26" ht="15.75" customHeight="1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spans="1:26" ht="15.75" customHeight="1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spans="1:26" ht="15.75" customHeight="1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spans="1:26" ht="15.75" customHeight="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spans="1:26" ht="15.75" customHeight="1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spans="1:26" ht="15.75" customHeight="1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spans="1:26" ht="15.75" customHeight="1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spans="1:26" ht="15.75" customHeight="1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spans="1:26" ht="15.75" customHeight="1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spans="1:26" ht="15.75" customHeight="1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spans="1:26" ht="15.75" customHeight="1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spans="1:26" ht="15.75" customHeight="1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spans="1:26" ht="15.75" customHeight="1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spans="1:26" ht="15.75" customHeight="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spans="1:26" ht="15.75" customHeight="1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spans="1:26" ht="15.75" customHeight="1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spans="1:26" ht="15.75" customHeight="1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spans="1:26" ht="15.75" customHeight="1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spans="1:26" ht="15.75" customHeight="1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spans="1:26" ht="15.75" customHeight="1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spans="1:26" ht="15.75" customHeight="1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spans="1:26" ht="15.75" customHeight="1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spans="1:26" ht="15.75" customHeight="1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spans="1:26" ht="15.75" customHeight="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spans="1:26" ht="15.75" customHeight="1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spans="1:26" ht="15.75" customHeight="1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spans="1:26" ht="15.75" customHeight="1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spans="1:26" ht="15.75" customHeight="1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spans="1:26" ht="15.75" customHeight="1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spans="1:26" ht="15.75" customHeight="1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spans="1:26" ht="15.75" customHeight="1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spans="1:26" ht="15.75" customHeight="1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spans="1:26" ht="15.75" customHeight="1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spans="1:26" ht="15.75" customHeight="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spans="1:26" ht="15.75" customHeight="1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spans="1:26" ht="15.75" customHeight="1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spans="1:26" ht="15.75" customHeight="1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spans="1:26" ht="15.75" customHeight="1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spans="1:26" ht="15.75" customHeight="1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spans="1:26" ht="15.75" customHeight="1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spans="1:26" ht="15.75" customHeight="1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spans="1:26" ht="15.75" customHeight="1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spans="1:26" ht="15.75" customHeight="1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spans="1:26" ht="15.75" customHeight="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spans="1:26" ht="15.75" customHeight="1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spans="1:26" ht="15.75" customHeight="1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spans="1:26" ht="15.75" customHeight="1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spans="1:26" ht="15.75" customHeight="1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spans="1:26" ht="15.75" customHeight="1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spans="1:26" ht="15.75" customHeight="1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spans="1:26" ht="15.75" customHeight="1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spans="1:26" ht="15.75" customHeight="1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spans="1:26" ht="15.75" customHeight="1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spans="1:26" ht="15.75" customHeight="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spans="1:26" ht="15.75" customHeight="1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spans="1:26" ht="15.75" customHeight="1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spans="1:26" ht="15.75" customHeight="1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spans="1:26" ht="15.75" customHeight="1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spans="1:26" ht="15.75" customHeight="1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spans="1:26" ht="15.75" customHeight="1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spans="1:26" ht="15.75" customHeight="1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spans="1:26" ht="15.75" customHeight="1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spans="1:26" ht="15.75" customHeight="1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spans="1:26" ht="15.75" customHeight="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spans="1:26" ht="15.75" customHeight="1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spans="1:26" ht="15.75" customHeight="1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spans="1:26" ht="15.75" customHeight="1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spans="1:26" ht="15.75" customHeight="1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spans="1:26" ht="15.75" customHeight="1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spans="1:26" ht="15.75" customHeight="1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spans="1:26" ht="15.75" customHeight="1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spans="1:26" ht="15.75" customHeight="1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spans="1:26" ht="15.75" customHeight="1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spans="1:26" ht="15.75" customHeight="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spans="1:26" ht="15.75" customHeight="1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spans="1:26" ht="15.75" customHeight="1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spans="1:26" ht="15.75" customHeight="1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spans="1:26" ht="15.75" customHeight="1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spans="1:26" ht="15.75" customHeight="1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spans="1:26" ht="15.75" customHeight="1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spans="1:26" ht="15.75" customHeight="1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spans="1:26" ht="15.75" customHeight="1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spans="1:26" ht="15.75" customHeight="1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spans="1:26" ht="15.75" customHeight="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spans="1:26" ht="15.75" customHeight="1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spans="1:26" ht="15.75" customHeight="1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spans="1:26" ht="15.75" customHeight="1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spans="1:26" ht="15.75" customHeight="1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spans="1:26" ht="15.75" customHeight="1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spans="1:26" ht="15.75" customHeight="1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spans="1:26" ht="15.75" customHeight="1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spans="1:26" ht="15.75" customHeight="1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spans="1:26" ht="15.75" customHeight="1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spans="1:26" ht="15.75" customHeight="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spans="1:26" ht="15.75" customHeight="1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spans="1:26" ht="15.75" customHeight="1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spans="1:26" ht="15.75" customHeight="1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spans="1:26" ht="15.75" customHeight="1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spans="1:26" ht="15.75" customHeight="1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spans="1:26" ht="15.75" customHeight="1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spans="1:26" ht="15.75" customHeight="1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spans="1:26" ht="15.75" customHeight="1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spans="1:26" ht="15.75" customHeight="1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spans="1:26" ht="15.75" customHeight="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spans="1:26" ht="15.75" customHeight="1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spans="1:26" ht="15.75" customHeight="1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spans="1:26" ht="15.75" customHeight="1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spans="1:26" ht="15.75" customHeight="1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spans="1:26" ht="15.75" customHeight="1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spans="1:26" ht="15.75" customHeight="1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spans="1:26" ht="15.75" customHeight="1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spans="1:26" ht="15.75" customHeight="1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spans="1:26" ht="15.75" customHeight="1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spans="1:26" ht="15.75" customHeight="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spans="1:26" ht="15.75" customHeight="1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spans="1:26" ht="15.75" customHeight="1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spans="1:26" ht="15.75" customHeight="1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spans="1:26" ht="15.75" customHeight="1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spans="1:26" ht="15.75" customHeight="1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spans="1:26" ht="15.75" customHeight="1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spans="1:26" ht="15.75" customHeight="1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spans="1:26" ht="15.75" customHeight="1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spans="1:26" ht="15.75" customHeight="1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spans="1:26" ht="15.75" customHeight="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spans="1:26" ht="15.75" customHeight="1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spans="1:26" ht="15.75" customHeight="1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spans="1:26" ht="15.75" customHeight="1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spans="1:26" ht="15.75" customHeight="1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spans="1:26" ht="15.75" customHeight="1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spans="1:26" ht="15.75" customHeight="1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spans="1:26" ht="15.75" customHeight="1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spans="1:26" ht="15.75" customHeight="1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spans="1:26" ht="15.75" customHeight="1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spans="1:26" ht="15.75" customHeight="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spans="1:26" ht="15.75" customHeight="1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spans="1:26" ht="15.75" customHeight="1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spans="1:26" ht="15.75" customHeight="1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spans="1:26" ht="15.75" customHeight="1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spans="1:26" ht="15.75" customHeight="1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spans="1:26" ht="15.75" customHeight="1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spans="1:26" ht="15.75" customHeight="1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spans="1:26" ht="15.75" customHeight="1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spans="1:26" ht="15.75" customHeight="1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spans="1:26" ht="15.75" customHeight="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spans="1:26" ht="15.75" customHeight="1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spans="1:26" ht="15.75" customHeight="1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spans="1:26" ht="15.75" customHeight="1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spans="1:26" ht="15.75" customHeight="1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spans="1:26" ht="15.75" customHeight="1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spans="1:26" ht="15.75" customHeight="1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spans="1:26" ht="15.75" customHeight="1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spans="1:26" ht="15.75" customHeight="1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spans="1:26" ht="15.75" customHeight="1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spans="1:26" ht="15.75" customHeight="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spans="1:26" ht="15.75" customHeight="1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spans="1:26" ht="15.75" customHeight="1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spans="1:26" ht="15.75" customHeight="1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spans="1:26" ht="15.75" customHeight="1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spans="1:26" ht="15.75" customHeight="1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spans="1:26" ht="15.75" customHeight="1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spans="1:26" ht="15.75" customHeight="1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spans="1:26" ht="15.75" customHeight="1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spans="1:26" ht="15.75" customHeight="1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spans="1:26" ht="15.75" customHeight="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spans="1:26" ht="15.75" customHeight="1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spans="1:26" ht="15.75" customHeight="1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spans="1:26" ht="15.75" customHeight="1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spans="1:26" ht="15.75" customHeight="1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spans="1:26" ht="15.75" customHeight="1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spans="1:26" ht="15.75" customHeight="1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spans="1:26" ht="15.75" customHeight="1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spans="1:26" ht="15.75" customHeight="1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spans="1:26" ht="15.75" customHeight="1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spans="1:26" ht="15.75" customHeight="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spans="1:26" ht="15.75" customHeight="1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spans="1:26" ht="15.75" customHeight="1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spans="1:26" ht="15.75" customHeight="1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spans="1:26" ht="15.75" customHeight="1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spans="1:26" ht="15.75" customHeight="1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spans="1:26" ht="15.75" customHeight="1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spans="1:26" ht="15.75" customHeight="1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spans="1:26" ht="15.75" customHeight="1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spans="1:26" ht="15.75" customHeight="1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spans="1:26" ht="15.75" customHeight="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spans="1:26" ht="15.75" customHeight="1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spans="1:26" ht="15.75" customHeight="1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spans="1:26" ht="15.75" customHeight="1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spans="1:26" ht="15.75" customHeight="1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spans="1:26" ht="15.75" customHeight="1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spans="1:26" ht="15.75" customHeight="1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spans="1:26" ht="15.75" customHeight="1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spans="1:26" ht="15.75" customHeight="1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spans="1:26" ht="15.75" customHeight="1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spans="1:26" ht="15.75" customHeight="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spans="1:26" ht="15.75" customHeight="1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spans="1:26" ht="15.75" customHeight="1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spans="1:26" ht="15.75" customHeight="1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spans="1:26" ht="15.75" customHeight="1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spans="1:26" ht="15.75" customHeight="1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spans="1:26" ht="15.75" customHeight="1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spans="1:26" ht="15.75" customHeight="1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spans="1:26" ht="15.75" customHeight="1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spans="1:26" ht="15.75" customHeight="1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spans="1:26" ht="15.75" customHeight="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spans="1:26" ht="15.75" customHeight="1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spans="1:26" ht="15.75" customHeight="1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spans="1:26" ht="15.75" customHeight="1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spans="1:26" ht="15.75" customHeight="1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spans="1:26" ht="15.75" customHeight="1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spans="1:26" ht="15.75" customHeight="1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spans="1:26" ht="15.75" customHeight="1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spans="1:26" ht="15.75" customHeight="1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spans="1:26" ht="15.75" customHeight="1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spans="1:26" ht="15.75" customHeight="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spans="1:26" ht="15.75" customHeight="1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spans="1:26" ht="15.75" customHeight="1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spans="1:26" ht="15.75" customHeight="1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spans="1:26" ht="15.75" customHeight="1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spans="1:26" ht="15.75" customHeight="1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spans="1:26" ht="15.75" customHeight="1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spans="1:26" ht="15.75" customHeight="1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spans="1:26" ht="15.75" customHeight="1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spans="1:26" ht="15.75" customHeight="1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spans="1:26" ht="15.75" customHeight="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spans="1:26" ht="15.75" customHeight="1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spans="1:26" ht="15.75" customHeight="1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spans="1:26" ht="15.75" customHeight="1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spans="1:26" ht="15.75" customHeight="1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spans="1:26" ht="15.75" customHeight="1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spans="1:26" ht="15.75" customHeight="1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spans="1:26" ht="15.75" customHeight="1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spans="1:26" ht="15.75" customHeight="1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spans="1:26" ht="15.75" customHeight="1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spans="1:26" ht="15.75" customHeight="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spans="1:26" ht="15.75" customHeight="1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spans="1:26" ht="15.75" customHeight="1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spans="1:26" ht="15.75" customHeight="1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spans="1:26" ht="15.75" customHeight="1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spans="1:26" ht="15.75" customHeight="1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spans="1:26" ht="15.75" customHeight="1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spans="1:26" ht="15.75" customHeight="1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spans="1:26" ht="15.75" customHeight="1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spans="1:26" ht="15.75" customHeight="1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spans="1:26" ht="15.75" customHeight="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spans="1:26" ht="15.75" customHeight="1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spans="1:26" ht="15.75" customHeight="1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spans="1:26" ht="15.75" customHeight="1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spans="1:26" ht="15.75" customHeight="1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spans="1:26" ht="15.75" customHeight="1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spans="1:26" ht="15.75" customHeight="1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spans="1:26" ht="15.75" customHeight="1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spans="1:26" ht="15.75" customHeight="1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spans="1:26" ht="15.75" customHeight="1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spans="1:26" ht="15.75" customHeight="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spans="1:26" ht="15.75" customHeight="1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spans="1:26" ht="15.75" customHeight="1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spans="1:26" ht="15.75" customHeight="1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spans="1:26" ht="15.75" customHeight="1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spans="1:26" ht="15.75" customHeight="1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spans="1:26" ht="15.75" customHeight="1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spans="1:26" ht="15.75" customHeight="1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spans="1:26" ht="15.75" customHeight="1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spans="1:26" ht="15.75" customHeight="1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spans="1:26" ht="15.75" customHeight="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spans="1:26" ht="15.75" customHeight="1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spans="1:26" ht="15.75" customHeight="1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spans="1:26" ht="15.75" customHeight="1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spans="1:26" ht="15.75" customHeight="1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spans="1:26" ht="15.75" customHeight="1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spans="1:26" ht="15.75" customHeight="1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spans="1:26" ht="15.75" customHeight="1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spans="1:26" ht="15.75" customHeight="1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spans="1:26" ht="15.75" customHeight="1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spans="1:26" ht="15.75" customHeight="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spans="1:26" ht="15.75" customHeight="1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spans="1:26" ht="15.75" customHeight="1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spans="1:26" ht="15.75" customHeight="1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spans="1:26" ht="15.75" customHeight="1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spans="1:26" ht="15.75" customHeight="1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spans="1:26" ht="15.75" customHeight="1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spans="1:26" ht="15.75" customHeight="1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spans="1:26" ht="15.75" customHeight="1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spans="1:26" ht="15.75" customHeight="1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spans="1:26" ht="15.75" customHeight="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spans="1:26" ht="15.75" customHeight="1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spans="1:26" ht="15.75" customHeight="1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spans="1:26" ht="15.75" customHeight="1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spans="1:26" ht="15.75" customHeight="1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spans="1:26" ht="15.75" customHeight="1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spans="1:26" ht="15.75" customHeight="1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spans="1:26" ht="15.75" customHeight="1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spans="1:26" ht="15.75" customHeight="1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spans="1:26" ht="15.75" customHeight="1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spans="1:26" ht="15.75" customHeight="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spans="1:26" ht="15.75" customHeight="1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spans="1:26" ht="15.75" customHeight="1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spans="1:26" ht="15.75" customHeight="1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spans="1:26" ht="15.75" customHeight="1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spans="1:26" ht="15.75" customHeight="1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spans="1:26" ht="15.75" customHeight="1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spans="1:26" ht="15.75" customHeight="1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spans="1:26" ht="15.75" customHeight="1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spans="1:26" ht="15.75" customHeight="1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spans="1:26" ht="15.75" customHeight="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spans="1:26" ht="15.75" customHeight="1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spans="1:26" ht="15.75" customHeight="1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spans="1:26" ht="15.75" customHeight="1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spans="1:26" ht="15.75" customHeight="1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spans="1:26" ht="15.75" customHeight="1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spans="1:26" ht="15.75" customHeight="1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spans="1:26" ht="15.75" customHeight="1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spans="1:26" ht="15.75" customHeight="1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spans="1:26" ht="15.75" customHeight="1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spans="1:26" ht="15.75" customHeight="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spans="1:26" ht="15.75" customHeight="1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spans="1:26" ht="15.75" customHeight="1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spans="1:26" ht="15.75" customHeight="1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spans="1:26" ht="15.75" customHeight="1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spans="1:26" ht="15.75" customHeight="1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spans="1:26" ht="15.75" customHeight="1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spans="1:26" ht="15.75" customHeight="1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spans="1:26" ht="15.75" customHeight="1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spans="1:26" ht="15.75" customHeight="1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spans="1:26" ht="15.75" customHeight="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spans="1:26" ht="15.75" customHeight="1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spans="1:26" ht="15.75" customHeight="1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spans="1:26" ht="15.75" customHeight="1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spans="1:26" ht="15.75" customHeight="1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spans="1:26" ht="15.75" customHeight="1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spans="1:26" ht="15.75" customHeight="1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spans="1:26" ht="15.75" customHeight="1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spans="1:26" ht="15.75" customHeight="1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spans="1:26" ht="15.75" customHeight="1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spans="1:26" ht="15.75" customHeight="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spans="1:26" ht="15.75" customHeight="1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spans="1:26" ht="15.75" customHeight="1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spans="1:26" ht="15.75" customHeight="1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spans="1:26" ht="15.75" customHeight="1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spans="1:26" ht="15.75" customHeight="1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spans="1:26" ht="15.75" customHeight="1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spans="1:26" ht="15.75" customHeight="1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spans="1:26" ht="15.75" customHeight="1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spans="1:26" ht="15.75" customHeight="1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spans="1:26" ht="15.75" customHeight="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spans="1:26" ht="15.75" customHeight="1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spans="1:26" ht="15.75" customHeight="1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spans="1:26" ht="15.75" customHeight="1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spans="1:26" ht="15.75" customHeight="1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spans="1:26" ht="15.75" customHeight="1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spans="1:26" ht="15.75" customHeight="1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spans="1:26" ht="15.75" customHeight="1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spans="1:26" ht="15.75" customHeight="1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spans="1:26" ht="15.75" customHeight="1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spans="1:26" ht="15.75" customHeight="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spans="1:26" ht="15.75" customHeight="1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spans="1:26" ht="15.75" customHeight="1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spans="1:26" ht="15.75" customHeight="1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spans="1:26" ht="15.75" customHeight="1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spans="1:26" ht="15.75" customHeight="1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spans="1:26" ht="15.75" customHeight="1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spans="1:26" ht="15.75" customHeight="1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spans="1:26" ht="15.75" customHeight="1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spans="1:26" ht="15.75" customHeight="1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spans="1:26" ht="15.75" customHeight="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spans="1:26" ht="15.75" customHeight="1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spans="1:26" ht="15.75" customHeight="1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spans="1:26" ht="15.75" customHeight="1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spans="1:26" ht="15.75" customHeight="1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spans="1:26" ht="15.75" customHeight="1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spans="1:26" ht="15.75" customHeight="1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spans="1:26" ht="15.75" customHeight="1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spans="1:26" ht="15.75" customHeight="1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spans="1:26" ht="15.75" customHeight="1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spans="1:26" ht="15.75" customHeight="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spans="1:26" ht="15.75" customHeight="1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spans="1:26" ht="15.75" customHeight="1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spans="1:26" ht="15.75" customHeight="1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spans="1:26" ht="15.75" customHeight="1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spans="1:26" ht="15.75" customHeight="1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spans="1:26" ht="15.75" customHeight="1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spans="1:26" ht="15.75" customHeight="1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spans="1:26" ht="15.75" customHeight="1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spans="1:26" ht="15.75" customHeight="1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spans="1:26" ht="15.75" customHeight="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spans="1:26" ht="15.75" customHeight="1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spans="1:26" ht="15.75" customHeight="1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spans="1:26" ht="15.75" customHeight="1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spans="1:26" ht="15.75" customHeight="1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spans="1:26" ht="15.75" customHeight="1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spans="1:26" ht="15.75" customHeight="1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spans="1:26" ht="15.75" customHeight="1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spans="1:26" ht="15.75" customHeight="1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spans="1:26" ht="15.75" customHeight="1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spans="1:26" ht="15.75" customHeight="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spans="1:26" ht="15.75" customHeight="1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spans="1:26" ht="15.75" customHeight="1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spans="1:26" ht="15.75" customHeight="1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spans="1:26" ht="15.75" customHeight="1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spans="1:26" ht="15.75" customHeight="1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spans="1:26" ht="15.75" customHeight="1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spans="1:26" ht="15.75" customHeight="1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spans="1:26" ht="15.75" customHeight="1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spans="1:26" ht="15.75" customHeight="1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spans="1:26" ht="15.75" customHeight="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spans="1:26" ht="15.75" customHeight="1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spans="1:26" ht="15.75" customHeight="1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spans="1:26" ht="15.75" customHeight="1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spans="1:26" ht="15.75" customHeight="1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spans="1:26" ht="15.75" customHeight="1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spans="1:26" ht="15.75" customHeight="1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spans="1:26" ht="15.75" customHeight="1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spans="1:26" ht="15.75" customHeight="1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spans="1:26" ht="15.75" customHeight="1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spans="1:26" ht="15.75" customHeight="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spans="1:26" ht="15.75" customHeight="1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spans="1:26" ht="15.75" customHeight="1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spans="1:26" ht="15.75" customHeight="1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spans="1:26" ht="15.75" customHeight="1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spans="1:26" ht="15.75" customHeight="1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spans="1:26" ht="15.75" customHeight="1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spans="1:26" ht="15.75" customHeight="1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spans="1:26" ht="15.75" customHeight="1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spans="1:26" ht="15.75" customHeight="1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spans="1:26" ht="15.75" customHeight="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spans="1:26" ht="15.75" customHeight="1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spans="1:26" ht="15.75" customHeight="1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spans="1:26" ht="15.75" customHeight="1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spans="1:26" ht="15.75" customHeight="1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spans="1:26" ht="15.75" customHeight="1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spans="1:26" ht="15.75" customHeight="1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spans="1:26" ht="15.75" customHeight="1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spans="1:26" ht="15.75" customHeight="1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spans="1:26" ht="15.75" customHeight="1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spans="1:26" ht="15.75" customHeight="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spans="1:26" ht="15.75" customHeight="1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spans="1:26" ht="15.75" customHeight="1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spans="1:26" ht="15.75" customHeight="1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spans="1:26" ht="15.75" customHeight="1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spans="1:26" ht="15.75" customHeight="1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spans="1:26" ht="15.75" customHeight="1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spans="1:26" ht="15.75" customHeight="1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spans="1:26" ht="15.75" customHeight="1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spans="1:26" ht="15.75" customHeight="1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spans="1:26" ht="15.75" customHeight="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spans="1:26" ht="15.75" customHeight="1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spans="1:26" ht="15.75" customHeight="1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spans="1:26" ht="15.75" customHeight="1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Member_Login!A1" display="Member_Login" xr:uid="{00000000-0004-0000-0200-000000000000}"/>
  </hyperlinks>
  <pageMargins left="0.25" right="0.25" top="0.5" bottom="0.5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7"/>
  <sheetViews>
    <sheetView showGridLines="0" tabSelected="1" workbookViewId="0">
      <pane xSplit="1" ySplit="9" topLeftCell="D13" activePane="bottomRight" state="frozen"/>
      <selection pane="bottomRight" activeCell="L17" sqref="L17"/>
      <selection pane="bottomLeft"/>
      <selection pane="topRight"/>
    </sheetView>
  </sheetViews>
  <sheetFormatPr defaultRowHeight="15"/>
  <cols>
    <col min="1" max="1" width="3" style="53" customWidth="1"/>
    <col min="2" max="2" width="18" style="53" customWidth="1"/>
    <col min="3" max="3" width="34" style="53" customWidth="1"/>
    <col min="4" max="4" width="54" style="53" customWidth="1"/>
    <col min="5" max="5" width="45" style="53" customWidth="1"/>
    <col min="6" max="6" width="25" style="53" customWidth="1"/>
    <col min="7" max="7" width="14" style="53" customWidth="1"/>
    <col min="8" max="8" width="16" style="53" customWidth="1"/>
    <col min="9" max="9" width="18" style="53" customWidth="1"/>
    <col min="10" max="10" width="15" style="53" customWidth="1"/>
    <col min="11" max="11" width="12" style="53" customWidth="1"/>
    <col min="12" max="12" width="14" style="53" customWidth="1"/>
    <col min="13" max="13" width="58" style="53" customWidth="1"/>
  </cols>
  <sheetData>
    <row r="1" spans="2:13">
      <c r="B1" s="21"/>
      <c r="C1" s="21"/>
      <c r="D1" s="21"/>
      <c r="E1" s="21"/>
      <c r="F1" s="21"/>
      <c r="G1" s="21"/>
      <c r="H1" s="39"/>
      <c r="I1" s="39"/>
      <c r="J1" s="39"/>
      <c r="K1" s="39"/>
      <c r="L1" s="40"/>
      <c r="M1" s="39"/>
    </row>
    <row r="2" spans="2:13">
      <c r="B2" s="9" t="s">
        <v>48</v>
      </c>
      <c r="C2" s="78" t="s">
        <v>34</v>
      </c>
      <c r="D2" s="79"/>
      <c r="E2" s="79"/>
      <c r="F2" s="80"/>
      <c r="G2" s="10"/>
      <c r="H2" s="39"/>
      <c r="I2" s="39"/>
      <c r="J2" s="39"/>
      <c r="K2" s="39"/>
      <c r="L2" s="40"/>
      <c r="M2" s="41"/>
    </row>
    <row r="3" spans="2:13">
      <c r="B3" s="11" t="s">
        <v>49</v>
      </c>
      <c r="C3" s="81" t="s">
        <v>50</v>
      </c>
      <c r="D3" s="54"/>
      <c r="E3" s="54"/>
      <c r="F3" s="55"/>
      <c r="G3" s="12"/>
      <c r="H3" s="39"/>
      <c r="I3" s="39"/>
      <c r="J3" s="39"/>
      <c r="K3" s="39"/>
      <c r="L3" s="40"/>
      <c r="M3" s="41"/>
    </row>
    <row r="4" spans="2:13">
      <c r="B4" s="11" t="s">
        <v>51</v>
      </c>
      <c r="C4" s="81" t="s">
        <v>52</v>
      </c>
      <c r="D4" s="54"/>
      <c r="E4" s="54"/>
      <c r="F4" s="55"/>
      <c r="G4" s="12"/>
      <c r="H4" s="39"/>
      <c r="I4" s="39"/>
      <c r="J4" s="39"/>
      <c r="K4" s="39"/>
      <c r="L4" s="40"/>
      <c r="M4" s="41"/>
    </row>
    <row r="5" spans="2:13">
      <c r="B5" s="13" t="s">
        <v>33</v>
      </c>
      <c r="C5" s="14" t="s">
        <v>29</v>
      </c>
      <c r="D5" s="14" t="s">
        <v>30</v>
      </c>
      <c r="E5" s="14" t="s">
        <v>31</v>
      </c>
      <c r="F5" s="14" t="s">
        <v>6</v>
      </c>
      <c r="G5" s="15" t="s">
        <v>53</v>
      </c>
      <c r="H5" s="39"/>
      <c r="I5" s="39"/>
      <c r="J5" s="39"/>
      <c r="K5" s="39"/>
      <c r="L5" s="40"/>
      <c r="M5" s="41"/>
    </row>
    <row r="6" spans="2:13">
      <c r="B6" s="82">
        <f>IFERROR(C6/(C6+D6),0)</f>
        <v>1</v>
      </c>
      <c r="C6" s="16">
        <f>COUNTIF(G10:G17,"PASS")</f>
        <v>6</v>
      </c>
      <c r="D6" s="16">
        <f>COUNTIF(G10:G17,"FAIL")</f>
        <v>0</v>
      </c>
      <c r="E6" s="16">
        <f>COUNTIF(G10:G17,"UNTESTED")</f>
        <v>0</v>
      </c>
      <c r="F6" s="16">
        <f>COUNTIF(G10:G17,"N/A")</f>
        <v>2</v>
      </c>
      <c r="G6" s="17">
        <f>COUNTA(B10:B17)</f>
        <v>8</v>
      </c>
      <c r="H6" s="39"/>
      <c r="I6" s="39"/>
      <c r="J6" s="39"/>
      <c r="K6" s="39"/>
      <c r="L6" s="40"/>
      <c r="M6" s="39"/>
    </row>
    <row r="7" spans="2:13">
      <c r="B7" s="42"/>
      <c r="C7" s="42"/>
      <c r="D7" s="42"/>
      <c r="E7" s="42"/>
      <c r="F7" s="42"/>
      <c r="G7" s="28"/>
      <c r="H7" s="39"/>
      <c r="I7" s="39"/>
      <c r="J7" s="39"/>
      <c r="K7" s="39"/>
      <c r="L7" s="40"/>
      <c r="M7" s="39"/>
    </row>
    <row r="8" spans="2:13">
      <c r="B8" s="18"/>
      <c r="C8" s="18"/>
      <c r="D8" s="18"/>
      <c r="E8" s="18"/>
      <c r="F8" s="18"/>
      <c r="G8" s="18"/>
      <c r="H8" s="39"/>
      <c r="I8" s="39"/>
      <c r="J8" s="39"/>
      <c r="K8" s="39"/>
      <c r="L8" s="40"/>
      <c r="M8" s="39"/>
    </row>
    <row r="9" spans="2:13">
      <c r="B9" s="43" t="s">
        <v>54</v>
      </c>
      <c r="C9" s="43" t="s">
        <v>55</v>
      </c>
      <c r="D9" s="43" t="s">
        <v>56</v>
      </c>
      <c r="E9" s="43" t="s">
        <v>57</v>
      </c>
      <c r="F9" s="43" t="s">
        <v>58</v>
      </c>
      <c r="G9" s="43" t="s">
        <v>59</v>
      </c>
      <c r="H9" s="43" t="s">
        <v>60</v>
      </c>
      <c r="I9" s="43" t="s">
        <v>61</v>
      </c>
      <c r="J9" s="43" t="s">
        <v>62</v>
      </c>
      <c r="K9" s="43" t="s">
        <v>63</v>
      </c>
      <c r="L9" s="44" t="s">
        <v>64</v>
      </c>
      <c r="M9" s="43" t="s">
        <v>65</v>
      </c>
    </row>
    <row r="10" spans="2:13" ht="75.95" customHeight="1">
      <c r="B10" s="45" t="s">
        <v>66</v>
      </c>
      <c r="C10" s="48" t="s">
        <v>67</v>
      </c>
      <c r="D10" s="47" t="s">
        <v>68</v>
      </c>
      <c r="E10" s="47" t="s">
        <v>69</v>
      </c>
      <c r="F10" s="45" t="s">
        <v>70</v>
      </c>
      <c r="G10" s="45" t="s">
        <v>71</v>
      </c>
      <c r="H10" s="49">
        <v>46307</v>
      </c>
      <c r="I10" s="45" t="s">
        <v>4</v>
      </c>
      <c r="J10" s="45">
        <v>1</v>
      </c>
      <c r="K10" s="45">
        <v>1</v>
      </c>
      <c r="L10" s="46">
        <f>IF(OR(G10="PASS",G10="FAIL"),K10/J10,"")</f>
        <v>1</v>
      </c>
      <c r="M10" s="45" t="s">
        <v>72</v>
      </c>
    </row>
    <row r="11" spans="2:13" ht="75.95" customHeight="1">
      <c r="B11" s="45" t="s">
        <v>73</v>
      </c>
      <c r="C11" s="48" t="s">
        <v>74</v>
      </c>
      <c r="D11" s="47" t="s">
        <v>75</v>
      </c>
      <c r="E11" s="47" t="s">
        <v>76</v>
      </c>
      <c r="F11" s="45" t="s">
        <v>77</v>
      </c>
      <c r="G11" s="45" t="s">
        <v>71</v>
      </c>
      <c r="H11" s="49">
        <v>46307</v>
      </c>
      <c r="I11" s="45" t="s">
        <v>4</v>
      </c>
      <c r="J11" s="45">
        <v>1</v>
      </c>
      <c r="K11" s="45">
        <v>1</v>
      </c>
      <c r="L11" s="46">
        <f>IF(OR(G11="PASS",G11="FAIL"),K11/J11,"")</f>
        <v>1</v>
      </c>
      <c r="M11" s="45" t="s">
        <v>78</v>
      </c>
    </row>
    <row r="12" spans="2:13" ht="75.95" customHeight="1">
      <c r="B12" s="45" t="s">
        <v>79</v>
      </c>
      <c r="C12" s="48" t="s">
        <v>80</v>
      </c>
      <c r="D12" s="47" t="s">
        <v>81</v>
      </c>
      <c r="E12" s="47" t="s">
        <v>82</v>
      </c>
      <c r="F12" s="45" t="s">
        <v>83</v>
      </c>
      <c r="G12" s="45" t="s">
        <v>71</v>
      </c>
      <c r="H12" s="49">
        <v>46307</v>
      </c>
      <c r="I12" s="45" t="s">
        <v>4</v>
      </c>
      <c r="J12" s="45">
        <v>1</v>
      </c>
      <c r="K12" s="45">
        <v>1</v>
      </c>
      <c r="L12" s="46">
        <f>IF(OR(G12="PASS",G12="FAIL"),K12/J12,"")</f>
        <v>1</v>
      </c>
      <c r="M12" s="45" t="s">
        <v>84</v>
      </c>
    </row>
    <row r="13" spans="2:13" ht="75.95" customHeight="1">
      <c r="B13" s="45" t="s">
        <v>85</v>
      </c>
      <c r="C13" s="48" t="s">
        <v>86</v>
      </c>
      <c r="D13" s="47" t="s">
        <v>87</v>
      </c>
      <c r="E13" s="47" t="s">
        <v>88</v>
      </c>
      <c r="F13" s="45" t="s">
        <v>83</v>
      </c>
      <c r="G13" s="45" t="s">
        <v>71</v>
      </c>
      <c r="H13" s="49">
        <v>46307</v>
      </c>
      <c r="I13" s="45" t="s">
        <v>4</v>
      </c>
      <c r="J13" s="45">
        <v>1</v>
      </c>
      <c r="K13" s="45">
        <v>1</v>
      </c>
      <c r="L13" s="46">
        <f>IF(OR(G13="PASS",G13="FAIL"),K13/J13,"")</f>
        <v>1</v>
      </c>
      <c r="M13" s="45" t="s">
        <v>89</v>
      </c>
    </row>
    <row r="14" spans="2:13" ht="75.95" customHeight="1">
      <c r="B14" s="45" t="s">
        <v>90</v>
      </c>
      <c r="C14" s="48" t="s">
        <v>91</v>
      </c>
      <c r="D14" s="47" t="s">
        <v>92</v>
      </c>
      <c r="E14" s="47" t="s">
        <v>93</v>
      </c>
      <c r="F14" s="45" t="s">
        <v>83</v>
      </c>
      <c r="G14" s="45" t="s">
        <v>71</v>
      </c>
      <c r="H14" s="49">
        <v>46307</v>
      </c>
      <c r="I14" s="45" t="s">
        <v>4</v>
      </c>
      <c r="J14" s="45">
        <v>1</v>
      </c>
      <c r="K14" s="45">
        <v>1</v>
      </c>
      <c r="L14" s="46">
        <f>IF(OR(G14="PASS",G14="FAIL"),K14/J14,"")</f>
        <v>1</v>
      </c>
      <c r="M14" s="45" t="s">
        <v>94</v>
      </c>
    </row>
    <row r="15" spans="2:13" ht="75.95" customHeight="1">
      <c r="B15" s="45" t="s">
        <v>95</v>
      </c>
      <c r="C15" s="48" t="s">
        <v>96</v>
      </c>
      <c r="D15" s="47" t="s">
        <v>97</v>
      </c>
      <c r="E15" s="47" t="s">
        <v>98</v>
      </c>
      <c r="F15" s="45" t="s">
        <v>83</v>
      </c>
      <c r="G15" s="45" t="s">
        <v>71</v>
      </c>
      <c r="H15" s="49">
        <v>46307</v>
      </c>
      <c r="I15" s="45" t="s">
        <v>4</v>
      </c>
      <c r="J15" s="45">
        <v>1</v>
      </c>
      <c r="K15" s="45">
        <v>1</v>
      </c>
      <c r="L15" s="46">
        <f>IF(OR(G15="PASS",G15="FAIL"),K15/J15,"")</f>
        <v>1</v>
      </c>
      <c r="M15" s="45" t="s">
        <v>99</v>
      </c>
    </row>
    <row r="16" spans="2:13" ht="92.1" customHeight="1">
      <c r="B16" s="45" t="s">
        <v>100</v>
      </c>
      <c r="C16" s="48" t="s">
        <v>101</v>
      </c>
      <c r="D16" s="47" t="s">
        <v>102</v>
      </c>
      <c r="E16" s="47" t="s">
        <v>103</v>
      </c>
      <c r="F16" s="45" t="s">
        <v>104</v>
      </c>
      <c r="G16" s="45" t="s">
        <v>6</v>
      </c>
      <c r="H16" s="49">
        <v>46307</v>
      </c>
      <c r="I16" s="45" t="s">
        <v>4</v>
      </c>
      <c r="J16" s="45">
        <v>1</v>
      </c>
      <c r="K16" s="45">
        <v>0</v>
      </c>
      <c r="L16" s="46" t="str">
        <f>IF(OR(G16="PASS",G16="FAIL"),K16/J16,"")</f>
        <v/>
      </c>
      <c r="M16" s="45" t="s">
        <v>105</v>
      </c>
    </row>
    <row r="17" spans="2:13" ht="92.1" customHeight="1">
      <c r="B17" s="45" t="s">
        <v>106</v>
      </c>
      <c r="C17" s="48" t="s">
        <v>107</v>
      </c>
      <c r="D17" s="47" t="s">
        <v>108</v>
      </c>
      <c r="E17" s="47" t="s">
        <v>109</v>
      </c>
      <c r="F17" s="45" t="s">
        <v>104</v>
      </c>
      <c r="G17" s="45" t="s">
        <v>6</v>
      </c>
      <c r="H17" s="49">
        <v>46307</v>
      </c>
      <c r="I17" s="45" t="s">
        <v>4</v>
      </c>
      <c r="J17" s="45">
        <v>1</v>
      </c>
      <c r="K17" s="45">
        <v>0</v>
      </c>
      <c r="L17" s="46" t="str">
        <f>IF(OR(G17="PASS",G17="FAIL"),K17/J17,"")</f>
        <v/>
      </c>
      <c r="M17" s="45" t="s">
        <v>110</v>
      </c>
    </row>
  </sheetData>
  <autoFilter ref="B9:M17" xr:uid="{00000000-0009-0000-0000-000003000000}"/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2026-10-06T10:13:05Z</dcterms:created>
  <dcterms:modified xsi:type="dcterms:W3CDTF">2026-10-12T06:05:47Z</dcterms:modified>
  <cp:category/>
  <cp:contentStatus/>
</cp:coreProperties>
</file>